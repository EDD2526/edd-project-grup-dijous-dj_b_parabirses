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<sst xmlns="http://schemas.openxmlformats.org/spreadsheetml/2006/main" count="644" uniqueCount="171">
  <si>
    <t>x10</t>
  </si>
  <si>
    <t>Preu unitari ($)</t>
  </si>
  <si>
    <t>Preu total ($)</t>
  </si>
  <si>
    <t>Referència</t>
  </si>
  <si>
    <t>x50</t>
  </si>
  <si>
    <t>x1000</t>
  </si>
  <si>
    <t>x20000</t>
  </si>
  <si>
    <t>C1</t>
  </si>
  <si>
    <t>https://www.unikeyic.com/products/ceramic-capacitors/fs051c104k4z2a/19464201.html</t>
  </si>
  <si>
    <t>https://www.unikeyic.com/products/ceramic-capacitors/cl21f104zbcnnnc/18680341.html</t>
  </si>
  <si>
    <t>C2</t>
  </si>
  <si>
    <t>C3</t>
  </si>
  <si>
    <t>https://www.unikeyic.com/products/ceramic-capacitors/gqm2195c2e200jb12d/9406125.html</t>
  </si>
  <si>
    <t>https://www.unikeyic.com/products/ceramic-capacitors/c0805c200k8hactu/10609661.html</t>
  </si>
  <si>
    <t>https://www.unikeyic.com/products/ceramic-capacitors/tcc0805cog200j500bt/21239242.html</t>
  </si>
  <si>
    <t>C4</t>
  </si>
  <si>
    <t>C5</t>
  </si>
  <si>
    <t>https://www.unikeyic.com/products/ceramic-capacitors/cc0805mry5v7bb105/7588510.html</t>
  </si>
  <si>
    <t>https://www.unikeyic.com/products/ceramic-capacitors/ac0805kkx7r5bb105/20753629.html</t>
  </si>
  <si>
    <t>https://www.unikeyic.com/products/ceramic-capacitors/cl21b105kofnfne/6708661.html</t>
  </si>
  <si>
    <t>C6</t>
  </si>
  <si>
    <t>C7</t>
  </si>
  <si>
    <t>C8</t>
  </si>
  <si>
    <t>C9</t>
  </si>
  <si>
    <t>C10</t>
  </si>
  <si>
    <t>C11</t>
  </si>
  <si>
    <t>https://www.unikeyic.com/products/ceramic-capacitors/sr215a681kaatr1/10381887.html</t>
  </si>
  <si>
    <t>https://www.unikeyic.com/products/ceramic-capacitors/0603zc681kat2a/7394239.html</t>
  </si>
  <si>
    <t>https://www.unikeyic.com/products/ceramic-capacitors/grm1885c1h681fa01d/20994921.html</t>
  </si>
  <si>
    <t>C12</t>
  </si>
  <si>
    <t>https://www.unikeyic.com/products/ceramic-capacitors/grm31cr60g227me11l/19408997.html</t>
  </si>
  <si>
    <t>https://www.unikeyic.com/products/ceramic-capacitors/c1206x5r227m6r3nt/1005581067.html</t>
  </si>
  <si>
    <t>C13</t>
  </si>
  <si>
    <t>https://www.unikeyic.com/products/ceramic-capacitors/msasj21gab7106ktna01/14967858.html</t>
  </si>
  <si>
    <t>https://www.unikeyic.com/products/ceramic-capacitors/grm21bc80j106me19l/10240704.html</t>
  </si>
  <si>
    <t>https://www.unikeyic.com/products/ceramic-capacitors/c0805x5r106k100ns/30244845.html</t>
  </si>
  <si>
    <t>C14</t>
  </si>
  <si>
    <t>C15</t>
  </si>
  <si>
    <t>https://www.unikeyic.com/products/ceramic-capacitors/grm21br60j107me15k/19293684.html</t>
  </si>
  <si>
    <t>https://www.unikeyic.com/products/ceramic-capacitors/grm21br60g107me11k/7312965.html</t>
  </si>
  <si>
    <t>C16</t>
  </si>
  <si>
    <t>C17</t>
  </si>
  <si>
    <t>https://www.unikeyic.com/products/ceramic-capacitors/cga0805c0g100j500ht/857497660.html</t>
  </si>
  <si>
    <t>https://www.unikeyic.com/products/ceramic-capacitors/c0805c100j5gac7800/6769988.html</t>
  </si>
  <si>
    <t>https://www.unikeyic.com/products/ceramic-capacitors/ac0805jrnpo9bn100/9246806.html</t>
  </si>
  <si>
    <t>C19</t>
  </si>
  <si>
    <t>https://www.unikeyic.com/products/ceramic-capacitors/08055c101jat2a/20491657.html</t>
  </si>
  <si>
    <t>https://www.unikeyic.com/products/ceramic-capacitors/c0805x7r101-101jnp/21187320.html</t>
  </si>
  <si>
    <t>D2</t>
  </si>
  <si>
    <t>https://www.unikeyic.com/products/led/ncd0805r1/13242756.html</t>
  </si>
  <si>
    <t>https://www.unikeyic.com/products/led/ncd0805o1/30976298.html</t>
  </si>
  <si>
    <t>https://www.unikeyic.com/products/led/aav-004-r000/1000194485.html</t>
  </si>
  <si>
    <t>D3</t>
  </si>
  <si>
    <t>https://www.unikeyic.com/products/current-stabilizing-diodes/tlp548j-tp1-f/8251332.html</t>
  </si>
  <si>
    <t>https://www.unikeyic.com/products/current-stabilizing-diodes/lm317/871062347.html</t>
  </si>
  <si>
    <t>D4</t>
  </si>
  <si>
    <t>D5</t>
  </si>
  <si>
    <t>D6</t>
  </si>
  <si>
    <t>FB1</t>
  </si>
  <si>
    <t>https://www.unikeyic.com/products/magnetic-beads/28c0236-0bw-10/28061261.html</t>
  </si>
  <si>
    <t>https://www.unikeyic.com/products/magnetic-beads/fba04ha450bb-00/23676552.html</t>
  </si>
  <si>
    <t>FINALCARRERA1</t>
  </si>
  <si>
    <t>https://www.unikeyic.com/products/pushbutton-switches/tk-6800-1/30582253.html</t>
  </si>
  <si>
    <t>https://www.unikeyic.com/products/pushbutton-switches/xkb8080-z/29657719.html</t>
  </si>
  <si>
    <t>https://www.unikeyic.com/products/pushbutton-switches/tmg1-01/30003257.html</t>
  </si>
  <si>
    <t>FINALCARRERA2</t>
  </si>
  <si>
    <t>J1</t>
  </si>
  <si>
    <t>https://www.unikeyic.com/products/blade-connector-housings/0351510210/34594861.html</t>
  </si>
  <si>
    <t>https://www.unikeyic.com/products/blade-connector-housings/0351500200/18454904.html</t>
  </si>
  <si>
    <t>https://www.unikeyic.com/products/blade-connector-housings/351500100/19714676.html</t>
  </si>
  <si>
    <t>J2</t>
  </si>
  <si>
    <t>J3</t>
  </si>
  <si>
    <t>J4</t>
  </si>
  <si>
    <t>JP1</t>
  </si>
  <si>
    <t>K2</t>
  </si>
  <si>
    <t>https://www.unikeyic.com/products/signal-relays/hk4100f-dc12v-shg/1209362.html</t>
  </si>
  <si>
    <t>https://www.unikeyic.com/products/signal-relays/hfd16-4-5-zfh3n/102142.html</t>
  </si>
  <si>
    <t>https://www.unikeyic.com/products/signal-relays/1649222-4/33950113.html</t>
  </si>
  <si>
    <t>https://www.unikeyic.com/products/signal-relays/v23079b1202b301/30598845.html</t>
  </si>
  <si>
    <t>K3</t>
  </si>
  <si>
    <t>K4</t>
  </si>
  <si>
    <t>L1</t>
  </si>
  <si>
    <t>https://www.unikeyic.com/products/power-inductors/slo0630h330mtt/28122264.html</t>
  </si>
  <si>
    <t>https://www.unikeyic.com/products/power-inductors/sm7850-330mt/24116420.html</t>
  </si>
  <si>
    <t>https://www.unikeyic.com/products/power-inductors/sm3521-330mt/27973129.html</t>
  </si>
  <si>
    <t>M1</t>
  </si>
  <si>
    <t>https://www.unikeyic.com/products/motor-driver/l9110s/34426605.html</t>
  </si>
  <si>
    <t>https://www.unikeyic.com/products/motor-driver/gr6212/1005575493.html</t>
  </si>
  <si>
    <t>https://www.unikeyic.com/products/motor-driver/sa6208/871310652.html</t>
  </si>
  <si>
    <t>M2</t>
  </si>
  <si>
    <t>M3</t>
  </si>
  <si>
    <t>M5</t>
  </si>
  <si>
    <t>Q2</t>
  </si>
  <si>
    <t>https://www.unikeyic.com/products/bjt/mmbt3904/691147421.html?sku=100300102529011</t>
  </si>
  <si>
    <t>https://www.unikeyic.com/products/bjt/mmbt3904/13701173.html?sku=1003001442654832</t>
  </si>
  <si>
    <t>Q3</t>
  </si>
  <si>
    <t>Q4</t>
  </si>
  <si>
    <t>R2</t>
  </si>
  <si>
    <t>https://www.unikeyic.com/products/surface-mount-resistors/wr06x102jtl/27213648.html</t>
  </si>
  <si>
    <t>https://www.unikeyic.com/products/surface-mount-resistors/scr0603f1k/1464257.html</t>
  </si>
  <si>
    <t>https://www.unikeyic.com/products/surface-mount-resistors/rms06jt102/23527918.html</t>
  </si>
  <si>
    <t>R3</t>
  </si>
  <si>
    <t>R4</t>
  </si>
  <si>
    <t>https://www.unikeyic.com/products/surface-mount-resistors/rk73b1jttd472g/30481446.html</t>
  </si>
  <si>
    <t>https://www.unikeyic.com/products/surface-mount-resistors/crt0603-fx-4701elf/6691641.html</t>
  </si>
  <si>
    <t>https://www.unikeyic.com/products/surface-mount-resistors/rc0603fr-074k7l/5502613.html</t>
  </si>
  <si>
    <t>R5</t>
  </si>
  <si>
    <t>https://www.unikeyic.com/products/surface-mount-resistors/rc0603fr-13121rl/1596587.html</t>
  </si>
  <si>
    <t>R6</t>
  </si>
  <si>
    <t>https://www.unikeyic.com/products/surface-mount-resistors/mr06x2000ftl/34104715.html</t>
  </si>
  <si>
    <t>https://www.unikeyic.com/products/surface-mount-resistors/ac0603fr-07200rl/29991689.html</t>
  </si>
  <si>
    <t>https://www.unikeyic.com/products/surface-mount-resistors/cq03waj0201t5e/683918389.html</t>
  </si>
  <si>
    <t>R7</t>
  </si>
  <si>
    <t>R8</t>
  </si>
  <si>
    <t>R9</t>
  </si>
  <si>
    <t>https://www.unikeyic.com/products/surface-mount-resistors/ptfr0603b10k0p9/2937877.html</t>
  </si>
  <si>
    <t>https://www.unikeyic.com/products/surface-mount-resistors/ar03btcx1002/28478659.html</t>
  </si>
  <si>
    <t>https://www.unikeyic.com/products/surface-mount-resistors/cr0603-16w-103jt/2487102.html</t>
  </si>
  <si>
    <t>R10</t>
  </si>
  <si>
    <t>R11</t>
  </si>
  <si>
    <t>https://www.unikeyic.com/products/fans-and-thermal-management/ick-smd-c-10-sa/19099179.html</t>
  </si>
  <si>
    <t>https://www.unikeyic.com/products/fans-and-thermal-management/thjp0805ast1/22262489.html</t>
  </si>
  <si>
    <t>https://www.unikeyic.com/products/fans-and-thermal-management/573100d00010g/20312133.html</t>
  </si>
  <si>
    <t>R12</t>
  </si>
  <si>
    <t>https://www.unikeyic.com/products/surface-mount-resistors/esr03ezpf60r4/26629815.html</t>
  </si>
  <si>
    <t>https://www.unikeyic.com/products/surface-mount-resistors/rt0603brd0760r4l/29063300.html</t>
  </si>
  <si>
    <t>https://www.unikeyic.com/products/surface-mount-resistors/ac0603fr-0760r4l/33884214.html</t>
  </si>
  <si>
    <t>R13</t>
  </si>
  <si>
    <t>R14</t>
  </si>
  <si>
    <t>R15</t>
  </si>
  <si>
    <t>R16</t>
  </si>
  <si>
    <t>R17</t>
  </si>
  <si>
    <t>R18</t>
  </si>
  <si>
    <t>https://www.unikeyic.com/products/surface-mount-resistors/era-3aeb7681v/33626659.html</t>
  </si>
  <si>
    <t>https://www.unikeyic.com/products/surface-mount-resistors/rt0603brd077k68l/27672674.html</t>
  </si>
  <si>
    <t>https://www.unikeyic.com/products/surface-mount-resistors/ac0603fr-077k68l/9459382.html</t>
  </si>
  <si>
    <t>R19</t>
  </si>
  <si>
    <t>R20</t>
  </si>
  <si>
    <t>R21</t>
  </si>
  <si>
    <t>R22</t>
  </si>
  <si>
    <t>R23</t>
  </si>
  <si>
    <t>SW1</t>
  </si>
  <si>
    <t>SW2</t>
  </si>
  <si>
    <t>SW3</t>
  </si>
  <si>
    <t>SW5</t>
  </si>
  <si>
    <t>U1</t>
  </si>
  <si>
    <t>https://www.unikeyic.com/products/ldo-controller/lm1117mp-3-3-tr/34334866.html?sku=1003001016206975</t>
  </si>
  <si>
    <t>https://www.unikeyic.com/products/ldo-controller/lm1117mpx-3-3-nopb/34021155.html?sku=1003001442151460</t>
  </si>
  <si>
    <t>U2</t>
  </si>
  <si>
    <t>https://www.unikeyic.com/products/dc-dc-controller/lm2596s-5-0/34029210.html?sku=1003001028609652</t>
  </si>
  <si>
    <t>https://www.unikeyic.com/products/motor-driver/drv8871ddarq1/22975465.html?sku=1003001028369650</t>
  </si>
  <si>
    <t>https://www.unikeyic.com/products/dc-dc-controller/lm2596s-adj/682757583.html?sku=100300107315294</t>
  </si>
  <si>
    <t>U3</t>
  </si>
  <si>
    <t>https://www.unikeyic.com/products/motor-driver/drv8871ddar/33981964.html?sku=1003001031180697</t>
  </si>
  <si>
    <t>U4</t>
  </si>
  <si>
    <t>https://www.digikey.es/es/products/detail/microchip-technology/PIC24HJ64GP504-I-ML/1635725</t>
  </si>
  <si>
    <t>https://www.digikey.es/es/products/detail/microchip-technology/PIC24HJ64GP504-I-PT/1635659</t>
  </si>
  <si>
    <t>U6</t>
  </si>
  <si>
    <t>https://www.unikeyic.com/products/temperature-and-humidity-sensors/hdc2080dmbr/11354663.html?sku=100300107790380</t>
  </si>
  <si>
    <t>U7</t>
  </si>
  <si>
    <t>U8</t>
  </si>
  <si>
    <t>https://www.unikeyic.com/products/other-interface/tja1049tkj/22647028.html?sku=1003001014917762</t>
  </si>
  <si>
    <t>U9</t>
  </si>
  <si>
    <t>https://www.unikeyic.com/products/other-interface/max232dr/22571007.html?sku=1003001444278106</t>
  </si>
  <si>
    <t>https://www.unikeyic.com/products/rs232-ic/max232/871452131.html?sku=1003001026511347</t>
  </si>
  <si>
    <t>Y1</t>
  </si>
  <si>
    <t>https://www.unikeyic.com/products/crystals/8z24000014/15871110.html</t>
  </si>
  <si>
    <t>https://www.unikeyic.com/products/crystals/x3sb27-000f15e10a/1000996296.html</t>
  </si>
  <si>
    <t>PCB</t>
  </si>
  <si>
    <t>https://jlcpcb.com/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</si>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</sst>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  <font>
      <b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0" xfId="0" applyFont="1"/>
    <xf borderId="0" fillId="0" fontId="3" numFmtId="0" xfId="0" applyAlignment="1" applyFont="1">
      <alignment readingOrder="0"/>
    </xf>
    <xf borderId="0" fillId="2" fontId="4" numFmtId="0" xfId="0" applyAlignment="1" applyFill="1" applyFont="1">
      <alignment readingOrder="0"/>
    </xf>
    <xf borderId="0" fillId="2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unikeyic.com/products/ceramic-capacitors/cl21f104zbcnnnc/18680341.html" TargetMode="External"/><Relationship Id="rId190" Type="http://schemas.openxmlformats.org/officeDocument/2006/relationships/hyperlink" Target="https://www.unikeyic.com/products/surface-mount-resistors/scr0603f1k/1464257.html" TargetMode="External"/><Relationship Id="rId42" Type="http://schemas.openxmlformats.org/officeDocument/2006/relationships/hyperlink" Target="https://www.unikeyic.com/products/ceramic-capacitors/sr215a681kaatr1/10381887.html" TargetMode="External"/><Relationship Id="rId41" Type="http://schemas.openxmlformats.org/officeDocument/2006/relationships/hyperlink" Target="https://www.unikeyic.com/products/ceramic-capacitors/sr215a681kaatr1/10381887.html" TargetMode="External"/><Relationship Id="rId44" Type="http://schemas.openxmlformats.org/officeDocument/2006/relationships/hyperlink" Target="https://www.unikeyic.com/products/ceramic-capacitors/grm1885c1h681fa01d/20994921.html" TargetMode="External"/><Relationship Id="rId194" Type="http://schemas.openxmlformats.org/officeDocument/2006/relationships/hyperlink" Target="https://www.unikeyic.com/products/surface-mount-resistors/scr0603f1k/1464257.html" TargetMode="External"/><Relationship Id="rId43" Type="http://schemas.openxmlformats.org/officeDocument/2006/relationships/hyperlink" Target="https://www.unikeyic.com/products/ceramic-capacitors/0603zc681kat2a/7394239.html" TargetMode="External"/><Relationship Id="rId193" Type="http://schemas.openxmlformats.org/officeDocument/2006/relationships/hyperlink" Target="https://www.unikeyic.com/products/surface-mount-resistors/wr06x102jtl/27213648.html" TargetMode="External"/><Relationship Id="rId46" Type="http://schemas.openxmlformats.org/officeDocument/2006/relationships/hyperlink" Target="https://www.unikeyic.com/products/ceramic-capacitors/grm31cr60g227me11l/19408997.html" TargetMode="External"/><Relationship Id="rId192" Type="http://schemas.openxmlformats.org/officeDocument/2006/relationships/hyperlink" Target="https://www.unikeyic.com/products/surface-mount-resistors/rms06jt102/23527918.html" TargetMode="External"/><Relationship Id="rId45" Type="http://schemas.openxmlformats.org/officeDocument/2006/relationships/hyperlink" Target="https://www.unikeyic.com/products/ceramic-capacitors/grm31cr60g227me11l/19408997.html" TargetMode="External"/><Relationship Id="rId191" Type="http://schemas.openxmlformats.org/officeDocument/2006/relationships/hyperlink" Target="https://www.unikeyic.com/products/surface-mount-resistors/scr0603f1k/1464257.html" TargetMode="External"/><Relationship Id="rId48" Type="http://schemas.openxmlformats.org/officeDocument/2006/relationships/hyperlink" Target="https://www.unikeyic.com/products/ceramic-capacitors/c1206x5r227m6r3nt/1005581067.html" TargetMode="External"/><Relationship Id="rId187" Type="http://schemas.openxmlformats.org/officeDocument/2006/relationships/hyperlink" Target="https://www.unikeyic.com/products/surface-mount-resistors/ac0603fr-07200rl/29991689.html" TargetMode="External"/><Relationship Id="rId47" Type="http://schemas.openxmlformats.org/officeDocument/2006/relationships/hyperlink" Target="https://www.unikeyic.com/products/ceramic-capacitors/grm31cr60g227me11l/19408997.html" TargetMode="External"/><Relationship Id="rId186" Type="http://schemas.openxmlformats.org/officeDocument/2006/relationships/hyperlink" Target="https://www.unikeyic.com/products/surface-mount-resistors/mr06x2000ftl/34104715.html" TargetMode="External"/><Relationship Id="rId185" Type="http://schemas.openxmlformats.org/officeDocument/2006/relationships/hyperlink" Target="https://www.unikeyic.com/products/surface-mount-resistors/mr06x2000ftl/34104715.html" TargetMode="External"/><Relationship Id="rId49" Type="http://schemas.openxmlformats.org/officeDocument/2006/relationships/hyperlink" Target="https://www.unikeyic.com/products/ceramic-capacitors/msasj21gab7106ktna01/14967858.html" TargetMode="External"/><Relationship Id="rId184" Type="http://schemas.openxmlformats.org/officeDocument/2006/relationships/hyperlink" Target="https://www.unikeyic.com/products/surface-mount-resistors/rc0603fr-13121rl/1596587.html" TargetMode="External"/><Relationship Id="rId189" Type="http://schemas.openxmlformats.org/officeDocument/2006/relationships/hyperlink" Target="https://www.unikeyic.com/products/surface-mount-resistors/wr06x102jtl/27213648.html" TargetMode="External"/><Relationship Id="rId188" Type="http://schemas.openxmlformats.org/officeDocument/2006/relationships/hyperlink" Target="https://www.unikeyic.com/products/surface-mount-resistors/cq03waj0201t5e/683918389.html" TargetMode="External"/><Relationship Id="rId31" Type="http://schemas.openxmlformats.org/officeDocument/2006/relationships/hyperlink" Target="https://www.unikeyic.com/products/ceramic-capacitors/ac0805kkx7r5bb105/20753629.html" TargetMode="External"/><Relationship Id="rId30" Type="http://schemas.openxmlformats.org/officeDocument/2006/relationships/hyperlink" Target="https://www.unikeyic.com/products/ceramic-capacitors/ac0805kkx7r5bb105/20753629.html" TargetMode="External"/><Relationship Id="rId33" Type="http://schemas.openxmlformats.org/officeDocument/2006/relationships/hyperlink" Target="https://www.unikeyic.com/products/ceramic-capacitors/cc0805mry5v7bb105/7588510.html" TargetMode="External"/><Relationship Id="rId183" Type="http://schemas.openxmlformats.org/officeDocument/2006/relationships/hyperlink" Target="https://www.unikeyic.com/products/surface-mount-resistors/rc0603fr-13121rl/1596587.html" TargetMode="External"/><Relationship Id="rId32" Type="http://schemas.openxmlformats.org/officeDocument/2006/relationships/hyperlink" Target="https://www.unikeyic.com/products/ceramic-capacitors/cl21b105kofnfne/6708661.html" TargetMode="External"/><Relationship Id="rId182" Type="http://schemas.openxmlformats.org/officeDocument/2006/relationships/hyperlink" Target="https://www.unikeyic.com/products/surface-mount-resistors/rc0603fr-13121rl/1596587.html" TargetMode="External"/><Relationship Id="rId35" Type="http://schemas.openxmlformats.org/officeDocument/2006/relationships/hyperlink" Target="https://www.unikeyic.com/products/ceramic-capacitors/ac0805kkx7r5bb105/20753629.html" TargetMode="External"/><Relationship Id="rId181" Type="http://schemas.openxmlformats.org/officeDocument/2006/relationships/hyperlink" Target="https://www.unikeyic.com/products/surface-mount-resistors/rc0603fr-13121rl/1596587.html" TargetMode="External"/><Relationship Id="rId34" Type="http://schemas.openxmlformats.org/officeDocument/2006/relationships/hyperlink" Target="https://www.unikeyic.com/products/ceramic-capacitors/ac0805kkx7r5bb105/20753629.html" TargetMode="External"/><Relationship Id="rId180" Type="http://schemas.openxmlformats.org/officeDocument/2006/relationships/hyperlink" Target="https://www.unikeyic.com/products/surface-mount-resistors/rc0603fr-074k7l/5502613.html" TargetMode="External"/><Relationship Id="rId37" Type="http://schemas.openxmlformats.org/officeDocument/2006/relationships/hyperlink" Target="https://www.unikeyic.com/products/ceramic-capacitors/fs051c104k4z2a/19464201.html" TargetMode="External"/><Relationship Id="rId176" Type="http://schemas.openxmlformats.org/officeDocument/2006/relationships/hyperlink" Target="https://www.unikeyic.com/products/surface-mount-resistors/rms06jt102/23527918.html" TargetMode="External"/><Relationship Id="rId297" Type="http://schemas.openxmlformats.org/officeDocument/2006/relationships/hyperlink" Target="https://www.unikeyic.com/products/other-interface/tja1049tkj/22647028.html?sku=1003001014917762" TargetMode="External"/><Relationship Id="rId36" Type="http://schemas.openxmlformats.org/officeDocument/2006/relationships/hyperlink" Target="https://www.unikeyic.com/products/ceramic-capacitors/cl21b105kofnfne/6708661.html" TargetMode="External"/><Relationship Id="rId175" Type="http://schemas.openxmlformats.org/officeDocument/2006/relationships/hyperlink" Target="https://www.unikeyic.com/products/surface-mount-resistors/scr0603f1k/1464257.html" TargetMode="External"/><Relationship Id="rId296" Type="http://schemas.openxmlformats.org/officeDocument/2006/relationships/hyperlink" Target="https://www.unikeyic.com/products/motor-driver/drv8871ddar/33981964.html?sku=1003001031180697" TargetMode="External"/><Relationship Id="rId39" Type="http://schemas.openxmlformats.org/officeDocument/2006/relationships/hyperlink" Target="https://www.unikeyic.com/products/ceramic-capacitors/cl21f104zbcnnnc/18680341.html" TargetMode="External"/><Relationship Id="rId174" Type="http://schemas.openxmlformats.org/officeDocument/2006/relationships/hyperlink" Target="https://www.unikeyic.com/products/surface-mount-resistors/scr0603f1k/1464257.html" TargetMode="External"/><Relationship Id="rId295" Type="http://schemas.openxmlformats.org/officeDocument/2006/relationships/hyperlink" Target="https://www.unikeyic.com/products/motor-driver/drv8871ddarq1/22975465.html?sku=1003001028369650" TargetMode="External"/><Relationship Id="rId38" Type="http://schemas.openxmlformats.org/officeDocument/2006/relationships/hyperlink" Target="https://www.unikeyic.com/products/ceramic-capacitors/fs051c104k4z2a/19464201.html" TargetMode="External"/><Relationship Id="rId173" Type="http://schemas.openxmlformats.org/officeDocument/2006/relationships/hyperlink" Target="https://www.unikeyic.com/products/surface-mount-resistors/wr06x102jtl/27213648.html" TargetMode="External"/><Relationship Id="rId294" Type="http://schemas.openxmlformats.org/officeDocument/2006/relationships/hyperlink" Target="https://www.unikeyic.com/products/motor-driver/drv8871ddarq1/22975465.html?sku=1003001028369650" TargetMode="External"/><Relationship Id="rId179" Type="http://schemas.openxmlformats.org/officeDocument/2006/relationships/hyperlink" Target="https://www.unikeyic.com/products/surface-mount-resistors/rc0603fr-074k7l/5502613.html" TargetMode="External"/><Relationship Id="rId178" Type="http://schemas.openxmlformats.org/officeDocument/2006/relationships/hyperlink" Target="https://www.unikeyic.com/products/surface-mount-resistors/crt0603-fx-4701elf/6691641.html" TargetMode="External"/><Relationship Id="rId299" Type="http://schemas.openxmlformats.org/officeDocument/2006/relationships/hyperlink" Target="https://www.unikeyic.com/products/other-interface/tja1049tkj/22647028.html?sku=1003001014917762" TargetMode="External"/><Relationship Id="rId177" Type="http://schemas.openxmlformats.org/officeDocument/2006/relationships/hyperlink" Target="https://www.unikeyic.com/products/surface-mount-resistors/rk73b1jttd472g/30481446.html" TargetMode="External"/><Relationship Id="rId298" Type="http://schemas.openxmlformats.org/officeDocument/2006/relationships/hyperlink" Target="https://www.unikeyic.com/products/other-interface/tja1049tkj/22647028.html?sku=1003001014917762" TargetMode="External"/><Relationship Id="rId20" Type="http://schemas.openxmlformats.org/officeDocument/2006/relationships/hyperlink" Target="https://www.unikeyic.com/products/ceramic-capacitors/cl21b105kofnfne/6708661.html" TargetMode="External"/><Relationship Id="rId22" Type="http://schemas.openxmlformats.org/officeDocument/2006/relationships/hyperlink" Target="https://www.unikeyic.com/products/ceramic-capacitors/ac0805kkx7r5bb105/20753629.html" TargetMode="External"/><Relationship Id="rId21" Type="http://schemas.openxmlformats.org/officeDocument/2006/relationships/hyperlink" Target="https://www.unikeyic.com/products/ceramic-capacitors/cc0805mry5v7bb105/7588510.html" TargetMode="External"/><Relationship Id="rId24" Type="http://schemas.openxmlformats.org/officeDocument/2006/relationships/hyperlink" Target="https://www.unikeyic.com/products/ceramic-capacitors/cl21b105kofnfne/6708661.html" TargetMode="External"/><Relationship Id="rId23" Type="http://schemas.openxmlformats.org/officeDocument/2006/relationships/hyperlink" Target="https://www.unikeyic.com/products/ceramic-capacitors/ac0805kkx7r5bb105/20753629.html" TargetMode="External"/><Relationship Id="rId26" Type="http://schemas.openxmlformats.org/officeDocument/2006/relationships/hyperlink" Target="https://www.unikeyic.com/products/ceramic-capacitors/ac0805kkx7r5bb105/20753629.html" TargetMode="External"/><Relationship Id="rId25" Type="http://schemas.openxmlformats.org/officeDocument/2006/relationships/hyperlink" Target="https://www.unikeyic.com/products/ceramic-capacitors/cc0805mry5v7bb105/7588510.html" TargetMode="External"/><Relationship Id="rId28" Type="http://schemas.openxmlformats.org/officeDocument/2006/relationships/hyperlink" Target="https://www.unikeyic.com/products/ceramic-capacitors/cl21b105kofnfne/6708661.html" TargetMode="External"/><Relationship Id="rId27" Type="http://schemas.openxmlformats.org/officeDocument/2006/relationships/hyperlink" Target="https://www.unikeyic.com/products/ceramic-capacitors/ac0805kkx7r5bb105/20753629.html" TargetMode="External"/><Relationship Id="rId29" Type="http://schemas.openxmlformats.org/officeDocument/2006/relationships/hyperlink" Target="https://www.unikeyic.com/products/ceramic-capacitors/cc0805mry5v7bb105/7588510.html" TargetMode="External"/><Relationship Id="rId11" Type="http://schemas.openxmlformats.org/officeDocument/2006/relationships/hyperlink" Target="https://www.unikeyic.com/products/ceramic-capacitors/c0805c200k8hactu/10609661.html" TargetMode="External"/><Relationship Id="rId10" Type="http://schemas.openxmlformats.org/officeDocument/2006/relationships/hyperlink" Target="https://www.unikeyic.com/products/ceramic-capacitors/gqm2195c2e200jb12d/9406125.html" TargetMode="External"/><Relationship Id="rId13" Type="http://schemas.openxmlformats.org/officeDocument/2006/relationships/hyperlink" Target="https://www.unikeyic.com/products/ceramic-capacitors/gqm2195c2e200jb12d/9406125.html" TargetMode="External"/><Relationship Id="rId12" Type="http://schemas.openxmlformats.org/officeDocument/2006/relationships/hyperlink" Target="https://www.unikeyic.com/products/ceramic-capacitors/tcc0805cog200j500bt/21239242.html" TargetMode="External"/><Relationship Id="rId15" Type="http://schemas.openxmlformats.org/officeDocument/2006/relationships/hyperlink" Target="https://www.unikeyic.com/products/ceramic-capacitors/c0805c200k8hactu/10609661.html" TargetMode="External"/><Relationship Id="rId198" Type="http://schemas.openxmlformats.org/officeDocument/2006/relationships/hyperlink" Target="https://www.unikeyic.com/products/surface-mount-resistors/ar03btcx1002/28478659.html" TargetMode="External"/><Relationship Id="rId14" Type="http://schemas.openxmlformats.org/officeDocument/2006/relationships/hyperlink" Target="https://www.unikeyic.com/products/ceramic-capacitors/gqm2195c2e200jb12d/9406125.html" TargetMode="External"/><Relationship Id="rId197" Type="http://schemas.openxmlformats.org/officeDocument/2006/relationships/hyperlink" Target="https://www.unikeyic.com/products/surface-mount-resistors/ptfr0603b10k0p9/2937877.html" TargetMode="External"/><Relationship Id="rId17" Type="http://schemas.openxmlformats.org/officeDocument/2006/relationships/hyperlink" Target="https://www.unikeyic.com/products/ceramic-capacitors/cc0805mry5v7bb105/7588510.html" TargetMode="External"/><Relationship Id="rId196" Type="http://schemas.openxmlformats.org/officeDocument/2006/relationships/hyperlink" Target="https://www.unikeyic.com/products/surface-mount-resistors/rms06jt102/23527918.html" TargetMode="External"/><Relationship Id="rId16" Type="http://schemas.openxmlformats.org/officeDocument/2006/relationships/hyperlink" Target="https://www.unikeyic.com/products/ceramic-capacitors/tcc0805cog200j500bt/21239242.html" TargetMode="External"/><Relationship Id="rId195" Type="http://schemas.openxmlformats.org/officeDocument/2006/relationships/hyperlink" Target="https://www.unikeyic.com/products/surface-mount-resistors/scr0603f1k/1464257.html" TargetMode="External"/><Relationship Id="rId19" Type="http://schemas.openxmlformats.org/officeDocument/2006/relationships/hyperlink" Target="https://www.unikeyic.com/products/ceramic-capacitors/ac0805kkx7r5bb105/20753629.html" TargetMode="External"/><Relationship Id="rId18" Type="http://schemas.openxmlformats.org/officeDocument/2006/relationships/hyperlink" Target="https://www.unikeyic.com/products/ceramic-capacitors/ac0805kkx7r5bb105/20753629.html" TargetMode="External"/><Relationship Id="rId199" Type="http://schemas.openxmlformats.org/officeDocument/2006/relationships/hyperlink" Target="https://www.unikeyic.com/products/surface-mount-resistors/cr0603-16w-103jt/2487102.html" TargetMode="External"/><Relationship Id="rId84" Type="http://schemas.openxmlformats.org/officeDocument/2006/relationships/hyperlink" Target="https://www.unikeyic.com/products/current-stabilizing-diodes/lm317/871062347.html" TargetMode="External"/><Relationship Id="rId83" Type="http://schemas.openxmlformats.org/officeDocument/2006/relationships/hyperlink" Target="https://www.unikeyic.com/products/current-stabilizing-diodes/lm317/871062347.html" TargetMode="External"/><Relationship Id="rId86" Type="http://schemas.openxmlformats.org/officeDocument/2006/relationships/hyperlink" Target="https://www.unikeyic.com/products/current-stabilizing-diodes/tlp548j-tp1-f/8251332.html" TargetMode="External"/><Relationship Id="rId85" Type="http://schemas.openxmlformats.org/officeDocument/2006/relationships/hyperlink" Target="https://www.unikeyic.com/products/current-stabilizing-diodes/tlp548j-tp1-f/8251332.html" TargetMode="External"/><Relationship Id="rId88" Type="http://schemas.openxmlformats.org/officeDocument/2006/relationships/hyperlink" Target="https://www.unikeyic.com/products/current-stabilizing-diodes/lm317/871062347.html" TargetMode="External"/><Relationship Id="rId150" Type="http://schemas.openxmlformats.org/officeDocument/2006/relationships/hyperlink" Target="https://www.unikeyic.com/products/motor-driver/gr6212/1005575493.html" TargetMode="External"/><Relationship Id="rId271" Type="http://schemas.openxmlformats.org/officeDocument/2006/relationships/hyperlink" Target="https://www.unikeyic.com/products/pushbutton-switches/xkb8080-z/29657719.html" TargetMode="External"/><Relationship Id="rId87" Type="http://schemas.openxmlformats.org/officeDocument/2006/relationships/hyperlink" Target="https://www.unikeyic.com/products/current-stabilizing-diodes/lm317/871062347.html" TargetMode="External"/><Relationship Id="rId270" Type="http://schemas.openxmlformats.org/officeDocument/2006/relationships/hyperlink" Target="https://www.unikeyic.com/products/pushbutton-switches/tk-6800-1/30582253.html" TargetMode="External"/><Relationship Id="rId89" Type="http://schemas.openxmlformats.org/officeDocument/2006/relationships/hyperlink" Target="https://www.unikeyic.com/products/current-stabilizing-diodes/tlp548j-tp1-f/8251332.html" TargetMode="External"/><Relationship Id="rId80" Type="http://schemas.openxmlformats.org/officeDocument/2006/relationships/hyperlink" Target="https://www.unikeyic.com/products/current-stabilizing-diodes/lm317/871062347.html" TargetMode="External"/><Relationship Id="rId82" Type="http://schemas.openxmlformats.org/officeDocument/2006/relationships/hyperlink" Target="https://www.unikeyic.com/products/current-stabilizing-diodes/tlp548j-tp1-f/8251332.html" TargetMode="External"/><Relationship Id="rId81" Type="http://schemas.openxmlformats.org/officeDocument/2006/relationships/hyperlink" Target="https://www.unikeyic.com/products/current-stabilizing-diodes/tlp548j-tp1-f/8251332.html" TargetMode="External"/><Relationship Id="rId1" Type="http://schemas.openxmlformats.org/officeDocument/2006/relationships/hyperlink" Target="https://www.unikeyic.com/products/ceramic-capacitors/fs051c104k4z2a/19464201.html" TargetMode="External"/><Relationship Id="rId2" Type="http://schemas.openxmlformats.org/officeDocument/2006/relationships/hyperlink" Target="https://www.unikeyic.com/products/ceramic-capacitors/fs051c104k4z2a/19464201.html" TargetMode="External"/><Relationship Id="rId3" Type="http://schemas.openxmlformats.org/officeDocument/2006/relationships/hyperlink" Target="https://www.unikeyic.com/products/ceramic-capacitors/cl21f104zbcnnnc/18680341.html" TargetMode="External"/><Relationship Id="rId149" Type="http://schemas.openxmlformats.org/officeDocument/2006/relationships/hyperlink" Target="https://www.unikeyic.com/products/motor-driver/l9110s/34426605.html" TargetMode="External"/><Relationship Id="rId4" Type="http://schemas.openxmlformats.org/officeDocument/2006/relationships/hyperlink" Target="https://www.unikeyic.com/products/ceramic-capacitors/cl21f104zbcnnnc/18680341.html" TargetMode="External"/><Relationship Id="rId148" Type="http://schemas.openxmlformats.org/officeDocument/2006/relationships/hyperlink" Target="https://www.unikeyic.com/products/motor-driver/sa6208/871310652.html" TargetMode="External"/><Relationship Id="rId269" Type="http://schemas.openxmlformats.org/officeDocument/2006/relationships/hyperlink" Target="https://www.unikeyic.com/products/pushbutton-switches/tk-6800-1/30582253.html" TargetMode="External"/><Relationship Id="rId9" Type="http://schemas.openxmlformats.org/officeDocument/2006/relationships/hyperlink" Target="https://www.unikeyic.com/products/ceramic-capacitors/gqm2195c2e200jb12d/9406125.html" TargetMode="External"/><Relationship Id="rId143" Type="http://schemas.openxmlformats.org/officeDocument/2006/relationships/hyperlink" Target="https://www.unikeyic.com/products/motor-driver/gr6212/1005575493.html" TargetMode="External"/><Relationship Id="rId264" Type="http://schemas.openxmlformats.org/officeDocument/2006/relationships/hyperlink" Target="https://www.unikeyic.com/products/pushbutton-switches/tmg1-01/30003257.html" TargetMode="External"/><Relationship Id="rId142" Type="http://schemas.openxmlformats.org/officeDocument/2006/relationships/hyperlink" Target="https://www.unikeyic.com/products/motor-driver/gr6212/1005575493.html" TargetMode="External"/><Relationship Id="rId263" Type="http://schemas.openxmlformats.org/officeDocument/2006/relationships/hyperlink" Target="https://www.unikeyic.com/products/pushbutton-switches/xkb8080-z/29657719.html" TargetMode="External"/><Relationship Id="rId141" Type="http://schemas.openxmlformats.org/officeDocument/2006/relationships/hyperlink" Target="https://www.unikeyic.com/products/motor-driver/l9110s/34426605.html" TargetMode="External"/><Relationship Id="rId262" Type="http://schemas.openxmlformats.org/officeDocument/2006/relationships/hyperlink" Target="https://www.unikeyic.com/products/pushbutton-switches/tk-6800-1/30582253.html" TargetMode="External"/><Relationship Id="rId140" Type="http://schemas.openxmlformats.org/officeDocument/2006/relationships/hyperlink" Target="https://www.unikeyic.com/products/power-inductors/sm3521-330mt/27973129.html" TargetMode="External"/><Relationship Id="rId261" Type="http://schemas.openxmlformats.org/officeDocument/2006/relationships/hyperlink" Target="https://www.unikeyic.com/products/pushbutton-switches/tk-6800-1/30582253.html" TargetMode="External"/><Relationship Id="rId5" Type="http://schemas.openxmlformats.org/officeDocument/2006/relationships/hyperlink" Target="https://www.unikeyic.com/products/ceramic-capacitors/fs051c104k4z2a/19464201.html" TargetMode="External"/><Relationship Id="rId147" Type="http://schemas.openxmlformats.org/officeDocument/2006/relationships/hyperlink" Target="https://www.unikeyic.com/products/motor-driver/gr6212/1005575493.html" TargetMode="External"/><Relationship Id="rId268" Type="http://schemas.openxmlformats.org/officeDocument/2006/relationships/hyperlink" Target="https://www.unikeyic.com/products/pushbutton-switches/tmg1-01/30003257.html" TargetMode="External"/><Relationship Id="rId6" Type="http://schemas.openxmlformats.org/officeDocument/2006/relationships/hyperlink" Target="https://www.unikeyic.com/products/ceramic-capacitors/fs051c104k4z2a/19464201.html" TargetMode="External"/><Relationship Id="rId146" Type="http://schemas.openxmlformats.org/officeDocument/2006/relationships/hyperlink" Target="https://www.unikeyic.com/products/motor-driver/gr6212/1005575493.html" TargetMode="External"/><Relationship Id="rId267" Type="http://schemas.openxmlformats.org/officeDocument/2006/relationships/hyperlink" Target="https://www.unikeyic.com/products/pushbutton-switches/xkb8080-z/29657719.html" TargetMode="External"/><Relationship Id="rId7" Type="http://schemas.openxmlformats.org/officeDocument/2006/relationships/hyperlink" Target="https://www.unikeyic.com/products/ceramic-capacitors/cl21f104zbcnnnc/18680341.html" TargetMode="External"/><Relationship Id="rId145" Type="http://schemas.openxmlformats.org/officeDocument/2006/relationships/hyperlink" Target="https://www.unikeyic.com/products/motor-driver/l9110s/34426605.html" TargetMode="External"/><Relationship Id="rId266" Type="http://schemas.openxmlformats.org/officeDocument/2006/relationships/hyperlink" Target="https://www.unikeyic.com/products/pushbutton-switches/tk-6800-1/30582253.html" TargetMode="External"/><Relationship Id="rId8" Type="http://schemas.openxmlformats.org/officeDocument/2006/relationships/hyperlink" Target="https://www.unikeyic.com/products/ceramic-capacitors/cl21f104zbcnnnc/18680341.html" TargetMode="External"/><Relationship Id="rId144" Type="http://schemas.openxmlformats.org/officeDocument/2006/relationships/hyperlink" Target="https://www.unikeyic.com/products/motor-driver/sa6208/871310652.html" TargetMode="External"/><Relationship Id="rId265" Type="http://schemas.openxmlformats.org/officeDocument/2006/relationships/hyperlink" Target="https://www.unikeyic.com/products/pushbutton-switches/tk-6800-1/30582253.html" TargetMode="External"/><Relationship Id="rId73" Type="http://schemas.openxmlformats.org/officeDocument/2006/relationships/hyperlink" Target="https://www.unikeyic.com/products/led/ncd0805r1/13242756.html" TargetMode="External"/><Relationship Id="rId72" Type="http://schemas.openxmlformats.org/officeDocument/2006/relationships/hyperlink" Target="https://www.unikeyic.com/products/ceramic-capacitors/c0805x7r101-101jnp/21187320.html" TargetMode="External"/><Relationship Id="rId75" Type="http://schemas.openxmlformats.org/officeDocument/2006/relationships/hyperlink" Target="https://www.unikeyic.com/products/led/ncd0805o1/30976298.html" TargetMode="External"/><Relationship Id="rId74" Type="http://schemas.openxmlformats.org/officeDocument/2006/relationships/hyperlink" Target="https://www.unikeyic.com/products/led/ncd0805o1/30976298.html" TargetMode="External"/><Relationship Id="rId77" Type="http://schemas.openxmlformats.org/officeDocument/2006/relationships/hyperlink" Target="https://www.unikeyic.com/products/current-stabilizing-diodes/tlp548j-tp1-f/8251332.html" TargetMode="External"/><Relationship Id="rId260" Type="http://schemas.openxmlformats.org/officeDocument/2006/relationships/hyperlink" Target="https://www.unikeyic.com/products/pushbutton-switches/tmg1-01/30003257.html" TargetMode="External"/><Relationship Id="rId76" Type="http://schemas.openxmlformats.org/officeDocument/2006/relationships/hyperlink" Target="https://www.unikeyic.com/products/led/aav-004-r000/1000194485.html" TargetMode="External"/><Relationship Id="rId79" Type="http://schemas.openxmlformats.org/officeDocument/2006/relationships/hyperlink" Target="https://www.unikeyic.com/products/current-stabilizing-diodes/lm317/871062347.html" TargetMode="External"/><Relationship Id="rId78" Type="http://schemas.openxmlformats.org/officeDocument/2006/relationships/hyperlink" Target="https://www.unikeyic.com/products/current-stabilizing-diodes/tlp548j-tp1-f/8251332.html" TargetMode="External"/><Relationship Id="rId71" Type="http://schemas.openxmlformats.org/officeDocument/2006/relationships/hyperlink" Target="https://www.unikeyic.com/products/ceramic-capacitors/c0805x7r101-101jnp/21187320.html" TargetMode="External"/><Relationship Id="rId70" Type="http://schemas.openxmlformats.org/officeDocument/2006/relationships/hyperlink" Target="https://www.unikeyic.com/products/ceramic-capacitors/08055c101jat2a/20491657.html" TargetMode="External"/><Relationship Id="rId139" Type="http://schemas.openxmlformats.org/officeDocument/2006/relationships/hyperlink" Target="https://www.unikeyic.com/products/power-inductors/sm7850-330mt/24116420.html" TargetMode="External"/><Relationship Id="rId138" Type="http://schemas.openxmlformats.org/officeDocument/2006/relationships/hyperlink" Target="https://www.unikeyic.com/products/power-inductors/slo0630h330mtt/28122264.html" TargetMode="External"/><Relationship Id="rId259" Type="http://schemas.openxmlformats.org/officeDocument/2006/relationships/hyperlink" Target="https://www.unikeyic.com/products/pushbutton-switches/xkb8080-z/29657719.html" TargetMode="External"/><Relationship Id="rId137" Type="http://schemas.openxmlformats.org/officeDocument/2006/relationships/hyperlink" Target="https://www.unikeyic.com/products/power-inductors/slo0630h330mtt/28122264.html" TargetMode="External"/><Relationship Id="rId258" Type="http://schemas.openxmlformats.org/officeDocument/2006/relationships/hyperlink" Target="https://www.unikeyic.com/products/pushbutton-switches/tk-6800-1/30582253.html" TargetMode="External"/><Relationship Id="rId132" Type="http://schemas.openxmlformats.org/officeDocument/2006/relationships/hyperlink" Target="https://www.unikeyic.com/products/signal-relays/v23079b1202b301/30598845.html" TargetMode="External"/><Relationship Id="rId253" Type="http://schemas.openxmlformats.org/officeDocument/2006/relationships/hyperlink" Target="https://www.unikeyic.com/products/surface-mount-resistors/era-3aeb7681v/33626659.html" TargetMode="External"/><Relationship Id="rId131" Type="http://schemas.openxmlformats.org/officeDocument/2006/relationships/hyperlink" Target="https://www.unikeyic.com/products/signal-relays/1649222-4/33950113.html" TargetMode="External"/><Relationship Id="rId252" Type="http://schemas.openxmlformats.org/officeDocument/2006/relationships/hyperlink" Target="https://www.unikeyic.com/products/surface-mount-resistors/ac0603fr-077k68l/9459382.html" TargetMode="External"/><Relationship Id="rId130" Type="http://schemas.openxmlformats.org/officeDocument/2006/relationships/hyperlink" Target="https://www.unikeyic.com/products/signal-relays/hfd16-4-5-zfh3n/102142.html" TargetMode="External"/><Relationship Id="rId251" Type="http://schemas.openxmlformats.org/officeDocument/2006/relationships/hyperlink" Target="https://www.unikeyic.com/products/surface-mount-resistors/ac0603fr-077k68l/9459382.html" TargetMode="External"/><Relationship Id="rId250" Type="http://schemas.openxmlformats.org/officeDocument/2006/relationships/hyperlink" Target="https://www.unikeyic.com/products/surface-mount-resistors/rt0603brd077k68l/27672674.html" TargetMode="External"/><Relationship Id="rId136" Type="http://schemas.openxmlformats.org/officeDocument/2006/relationships/hyperlink" Target="https://www.unikeyic.com/products/signal-relays/v23079b1202b301/30598845.html" TargetMode="External"/><Relationship Id="rId257" Type="http://schemas.openxmlformats.org/officeDocument/2006/relationships/hyperlink" Target="https://www.unikeyic.com/products/pushbutton-switches/tk-6800-1/30582253.html" TargetMode="External"/><Relationship Id="rId135" Type="http://schemas.openxmlformats.org/officeDocument/2006/relationships/hyperlink" Target="https://www.unikeyic.com/products/signal-relays/1649222-4/33950113.html" TargetMode="External"/><Relationship Id="rId256" Type="http://schemas.openxmlformats.org/officeDocument/2006/relationships/hyperlink" Target="https://www.unikeyic.com/products/surface-mount-resistors/ac0603fr-077k68l/9459382.html" TargetMode="External"/><Relationship Id="rId134" Type="http://schemas.openxmlformats.org/officeDocument/2006/relationships/hyperlink" Target="https://www.unikeyic.com/products/signal-relays/hfd16-4-5-zfh3n/102142.html" TargetMode="External"/><Relationship Id="rId255" Type="http://schemas.openxmlformats.org/officeDocument/2006/relationships/hyperlink" Target="https://www.unikeyic.com/products/surface-mount-resistors/ac0603fr-077k68l/9459382.html" TargetMode="External"/><Relationship Id="rId133" Type="http://schemas.openxmlformats.org/officeDocument/2006/relationships/hyperlink" Target="https://www.unikeyic.com/products/signal-relays/hk4100f-dc12v-shg/1209362.html" TargetMode="External"/><Relationship Id="rId254" Type="http://schemas.openxmlformats.org/officeDocument/2006/relationships/hyperlink" Target="https://www.unikeyic.com/products/surface-mount-resistors/rt0603brd077k68l/27672674.html" TargetMode="External"/><Relationship Id="rId62" Type="http://schemas.openxmlformats.org/officeDocument/2006/relationships/hyperlink" Target="https://www.unikeyic.com/products/ceramic-capacitors/fs051c104k4z2a/19464201.html" TargetMode="External"/><Relationship Id="rId61" Type="http://schemas.openxmlformats.org/officeDocument/2006/relationships/hyperlink" Target="https://www.unikeyic.com/products/ceramic-capacitors/fs051c104k4z2a/19464201.html" TargetMode="External"/><Relationship Id="rId64" Type="http://schemas.openxmlformats.org/officeDocument/2006/relationships/hyperlink" Target="https://www.unikeyic.com/products/ceramic-capacitors/cl21f104zbcnnnc/18680341.html" TargetMode="External"/><Relationship Id="rId63" Type="http://schemas.openxmlformats.org/officeDocument/2006/relationships/hyperlink" Target="https://www.unikeyic.com/products/ceramic-capacitors/cl21f104zbcnnnc/18680341.html" TargetMode="External"/><Relationship Id="rId66" Type="http://schemas.openxmlformats.org/officeDocument/2006/relationships/hyperlink" Target="https://www.unikeyic.com/products/ceramic-capacitors/cga0805c0g100j500ht/857497660.html" TargetMode="External"/><Relationship Id="rId172" Type="http://schemas.openxmlformats.org/officeDocument/2006/relationships/hyperlink" Target="https://www.unikeyic.com/products/surface-mount-resistors/rms06jt102/23527918.html" TargetMode="External"/><Relationship Id="rId293" Type="http://schemas.openxmlformats.org/officeDocument/2006/relationships/hyperlink" Target="https://www.unikeyic.com/products/motor-driver/drv8871ddarq1/22975465.html?sku=1003001028369650" TargetMode="External"/><Relationship Id="rId65" Type="http://schemas.openxmlformats.org/officeDocument/2006/relationships/hyperlink" Target="https://www.unikeyic.com/products/ceramic-capacitors/cga0805c0g100j500ht/857497660.html" TargetMode="External"/><Relationship Id="rId171" Type="http://schemas.openxmlformats.org/officeDocument/2006/relationships/hyperlink" Target="https://www.unikeyic.com/products/surface-mount-resistors/scr0603f1k/1464257.html" TargetMode="External"/><Relationship Id="rId292" Type="http://schemas.openxmlformats.org/officeDocument/2006/relationships/hyperlink" Target="https://www.unikeyic.com/products/temperature-and-humidity-sensors/hdc2080dmbr/11354663.html?sku=100300107790380" TargetMode="External"/><Relationship Id="rId68" Type="http://schemas.openxmlformats.org/officeDocument/2006/relationships/hyperlink" Target="https://www.unikeyic.com/products/ceramic-capacitors/ac0805jrnpo9bn100/9246806.html" TargetMode="External"/><Relationship Id="rId170" Type="http://schemas.openxmlformats.org/officeDocument/2006/relationships/hyperlink" Target="https://www.unikeyic.com/products/surface-mount-resistors/scr0603f1k/1464257.html" TargetMode="External"/><Relationship Id="rId291" Type="http://schemas.openxmlformats.org/officeDocument/2006/relationships/hyperlink" Target="https://www.unikeyic.com/products/temperature-and-humidity-sensors/hdc2080dmbr/11354663.html?sku=100300107790380" TargetMode="External"/><Relationship Id="rId67" Type="http://schemas.openxmlformats.org/officeDocument/2006/relationships/hyperlink" Target="https://www.unikeyic.com/products/ceramic-capacitors/c0805c100j5gac7800/6769988.html" TargetMode="External"/><Relationship Id="rId290" Type="http://schemas.openxmlformats.org/officeDocument/2006/relationships/hyperlink" Target="https://www.unikeyic.com/products/temperature-and-humidity-sensors/hdc2080dmbr/11354663.html?sku=100300107790380" TargetMode="External"/><Relationship Id="rId60" Type="http://schemas.openxmlformats.org/officeDocument/2006/relationships/hyperlink" Target="https://www.unikeyic.com/products/ceramic-capacitors/grm21br60g107me11k/7312965.html" TargetMode="External"/><Relationship Id="rId165" Type="http://schemas.openxmlformats.org/officeDocument/2006/relationships/hyperlink" Target="https://www.unikeyic.com/products/bjt/mmbt3904/691147421.html?sku=100300102529011" TargetMode="External"/><Relationship Id="rId286" Type="http://schemas.openxmlformats.org/officeDocument/2006/relationships/hyperlink" Target="https://www.digikey.es/es/products/detail/microchip-technology/PIC24HJ64GP504-I-ML/1635725" TargetMode="External"/><Relationship Id="rId69" Type="http://schemas.openxmlformats.org/officeDocument/2006/relationships/hyperlink" Target="https://www.unikeyic.com/products/ceramic-capacitors/08055c101jat2a/20491657.html" TargetMode="External"/><Relationship Id="rId164" Type="http://schemas.openxmlformats.org/officeDocument/2006/relationships/hyperlink" Target="https://www.unikeyic.com/products/bjt/mmbt3904/13701173.html?sku=1003001442654832" TargetMode="External"/><Relationship Id="rId285" Type="http://schemas.openxmlformats.org/officeDocument/2006/relationships/hyperlink" Target="https://www.digikey.es/es/products/detail/microchip-technology/PIC24HJ64GP504-I-ML/1635725" TargetMode="External"/><Relationship Id="rId163" Type="http://schemas.openxmlformats.org/officeDocument/2006/relationships/hyperlink" Target="https://www.unikeyic.com/products/bjt/mmbt3904/691147421.html?sku=100300102529011" TargetMode="External"/><Relationship Id="rId284" Type="http://schemas.openxmlformats.org/officeDocument/2006/relationships/hyperlink" Target="https://www.unikeyic.com/products/motor-driver/drv8871ddar/33981964.html?sku=1003001031180697" TargetMode="External"/><Relationship Id="rId162" Type="http://schemas.openxmlformats.org/officeDocument/2006/relationships/hyperlink" Target="https://www.unikeyic.com/products/bjt/mmbt3904/691147421.html?sku=100300102529011" TargetMode="External"/><Relationship Id="rId283" Type="http://schemas.openxmlformats.org/officeDocument/2006/relationships/hyperlink" Target="https://www.unikeyic.com/products/motor-driver/drv8871ddar/33981964.html?sku=1003001031180697" TargetMode="External"/><Relationship Id="rId169" Type="http://schemas.openxmlformats.org/officeDocument/2006/relationships/hyperlink" Target="https://www.unikeyic.com/products/surface-mount-resistors/wr06x102jtl/27213648.html" TargetMode="External"/><Relationship Id="rId168" Type="http://schemas.openxmlformats.org/officeDocument/2006/relationships/hyperlink" Target="https://www.unikeyic.com/products/bjt/mmbt3904/13701173.html?sku=1003001442654832" TargetMode="External"/><Relationship Id="rId289" Type="http://schemas.openxmlformats.org/officeDocument/2006/relationships/hyperlink" Target="https://www.unikeyic.com/products/temperature-and-humidity-sensors/hdc2080dmbr/11354663.html?sku=100300107790380" TargetMode="External"/><Relationship Id="rId167" Type="http://schemas.openxmlformats.org/officeDocument/2006/relationships/hyperlink" Target="https://www.unikeyic.com/products/bjt/mmbt3904/691147421.html?sku=100300102529011" TargetMode="External"/><Relationship Id="rId288" Type="http://schemas.openxmlformats.org/officeDocument/2006/relationships/hyperlink" Target="https://www.digikey.es/es/products/detail/microchip-technology/PIC24HJ64GP504-I-PT/1635659" TargetMode="External"/><Relationship Id="rId166" Type="http://schemas.openxmlformats.org/officeDocument/2006/relationships/hyperlink" Target="https://www.unikeyic.com/products/bjt/mmbt3904/691147421.html?sku=100300102529011" TargetMode="External"/><Relationship Id="rId287" Type="http://schemas.openxmlformats.org/officeDocument/2006/relationships/hyperlink" Target="https://www.digikey.es/es/products/detail/microchip-technology/PIC24HJ64GP504-I-PT/1635659" TargetMode="External"/><Relationship Id="rId51" Type="http://schemas.openxmlformats.org/officeDocument/2006/relationships/hyperlink" Target="https://www.unikeyic.com/products/ceramic-capacitors/grm21bc80j106me19l/10240704.html" TargetMode="External"/><Relationship Id="rId50" Type="http://schemas.openxmlformats.org/officeDocument/2006/relationships/hyperlink" Target="https://www.unikeyic.com/products/ceramic-capacitors/msasj21gab7106ktna01/14967858.html" TargetMode="External"/><Relationship Id="rId53" Type="http://schemas.openxmlformats.org/officeDocument/2006/relationships/hyperlink" Target="https://www.unikeyic.com/products/ceramic-capacitors/msasj21gab7106ktna01/14967858.html" TargetMode="External"/><Relationship Id="rId52" Type="http://schemas.openxmlformats.org/officeDocument/2006/relationships/hyperlink" Target="https://www.unikeyic.com/products/ceramic-capacitors/c0805x5r106k100ns/30244845.html" TargetMode="External"/><Relationship Id="rId55" Type="http://schemas.openxmlformats.org/officeDocument/2006/relationships/hyperlink" Target="https://www.unikeyic.com/products/ceramic-capacitors/grm21bc80j106me19l/10240704.html" TargetMode="External"/><Relationship Id="rId161" Type="http://schemas.openxmlformats.org/officeDocument/2006/relationships/hyperlink" Target="https://www.unikeyic.com/products/bjt/mmbt3904/691147421.html?sku=100300102529011" TargetMode="External"/><Relationship Id="rId282" Type="http://schemas.openxmlformats.org/officeDocument/2006/relationships/hyperlink" Target="https://www.unikeyic.com/products/motor-driver/drv8871ddar/33981964.html?sku=1003001031180697" TargetMode="External"/><Relationship Id="rId54" Type="http://schemas.openxmlformats.org/officeDocument/2006/relationships/hyperlink" Target="https://www.unikeyic.com/products/ceramic-capacitors/msasj21gab7106ktna01/14967858.html" TargetMode="External"/><Relationship Id="rId160" Type="http://schemas.openxmlformats.org/officeDocument/2006/relationships/hyperlink" Target="https://www.unikeyic.com/products/bjt/mmbt3904/13701173.html?sku=1003001442654832" TargetMode="External"/><Relationship Id="rId281" Type="http://schemas.openxmlformats.org/officeDocument/2006/relationships/hyperlink" Target="https://www.unikeyic.com/products/motor-driver/drv8871ddarq1/22975465.html?sku=1003001028369650" TargetMode="External"/><Relationship Id="rId57" Type="http://schemas.openxmlformats.org/officeDocument/2006/relationships/hyperlink" Target="https://www.unikeyic.com/products/ceramic-capacitors/grm21br60j107me15k/19293684.html" TargetMode="External"/><Relationship Id="rId280" Type="http://schemas.openxmlformats.org/officeDocument/2006/relationships/hyperlink" Target="https://www.unikeyic.com/products/dc-dc-controller/lm2596s-adj/682757583.html?sku=100300107315294" TargetMode="External"/><Relationship Id="rId56" Type="http://schemas.openxmlformats.org/officeDocument/2006/relationships/hyperlink" Target="https://www.unikeyic.com/products/ceramic-capacitors/c0805x5r106k100ns/30244845.html" TargetMode="External"/><Relationship Id="rId159" Type="http://schemas.openxmlformats.org/officeDocument/2006/relationships/hyperlink" Target="https://www.unikeyic.com/products/bjt/mmbt3904/691147421.html?sku=100300102529011" TargetMode="External"/><Relationship Id="rId59" Type="http://schemas.openxmlformats.org/officeDocument/2006/relationships/hyperlink" Target="https://www.unikeyic.com/products/ceramic-capacitors/grm21br60j107me15k/19293684.html" TargetMode="External"/><Relationship Id="rId154" Type="http://schemas.openxmlformats.org/officeDocument/2006/relationships/hyperlink" Target="https://www.unikeyic.com/products/motor-driver/gr6212/1005575493.html" TargetMode="External"/><Relationship Id="rId275" Type="http://schemas.openxmlformats.org/officeDocument/2006/relationships/hyperlink" Target="https://www.unikeyic.com/products/ldo-controller/lm1117mp-3-3-tr/34334866.html?sku=1003001016206975" TargetMode="External"/><Relationship Id="rId58" Type="http://schemas.openxmlformats.org/officeDocument/2006/relationships/hyperlink" Target="https://www.unikeyic.com/products/ceramic-capacitors/grm21br60j107me15k/19293684.html" TargetMode="External"/><Relationship Id="rId153" Type="http://schemas.openxmlformats.org/officeDocument/2006/relationships/hyperlink" Target="https://www.unikeyic.com/products/motor-driver/l9110s/34426605.html" TargetMode="External"/><Relationship Id="rId274" Type="http://schemas.openxmlformats.org/officeDocument/2006/relationships/hyperlink" Target="https://www.unikeyic.com/products/ldo-controller/lm1117mp-3-3-tr/34334866.html?sku=1003001016206975" TargetMode="External"/><Relationship Id="rId152" Type="http://schemas.openxmlformats.org/officeDocument/2006/relationships/hyperlink" Target="https://www.unikeyic.com/products/motor-driver/sa6208/871310652.html" TargetMode="External"/><Relationship Id="rId273" Type="http://schemas.openxmlformats.org/officeDocument/2006/relationships/hyperlink" Target="https://www.unikeyic.com/products/ldo-controller/lm1117mp-3-3-tr/34334866.html?sku=1003001016206975" TargetMode="External"/><Relationship Id="rId151" Type="http://schemas.openxmlformats.org/officeDocument/2006/relationships/hyperlink" Target="https://www.unikeyic.com/products/motor-driver/gr6212/1005575493.html" TargetMode="External"/><Relationship Id="rId272" Type="http://schemas.openxmlformats.org/officeDocument/2006/relationships/hyperlink" Target="https://www.unikeyic.com/products/pushbutton-switches/tmg1-01/30003257.html" TargetMode="External"/><Relationship Id="rId158" Type="http://schemas.openxmlformats.org/officeDocument/2006/relationships/hyperlink" Target="https://www.unikeyic.com/products/bjt/mmbt3904/691147421.html?sku=100300102529011" TargetMode="External"/><Relationship Id="rId279" Type="http://schemas.openxmlformats.org/officeDocument/2006/relationships/hyperlink" Target="https://www.unikeyic.com/products/dc-dc-controller/lm2596s-5-0/34029210.html?sku=1003001028609652" TargetMode="External"/><Relationship Id="rId157" Type="http://schemas.openxmlformats.org/officeDocument/2006/relationships/hyperlink" Target="https://www.unikeyic.com/products/bjt/mmbt3904/691147421.html?sku=100300102529011" TargetMode="External"/><Relationship Id="rId278" Type="http://schemas.openxmlformats.org/officeDocument/2006/relationships/hyperlink" Target="https://www.unikeyic.com/products/motor-driver/drv8871ddarq1/22975465.html?sku=1003001028369650" TargetMode="External"/><Relationship Id="rId156" Type="http://schemas.openxmlformats.org/officeDocument/2006/relationships/hyperlink" Target="https://www.unikeyic.com/products/motor-driver/sa6208/871310652.html" TargetMode="External"/><Relationship Id="rId277" Type="http://schemas.openxmlformats.org/officeDocument/2006/relationships/hyperlink" Target="https://www.unikeyic.com/products/dc-dc-controller/lm2596s-5-0/34029210.html?sku=1003001028609652" TargetMode="External"/><Relationship Id="rId155" Type="http://schemas.openxmlformats.org/officeDocument/2006/relationships/hyperlink" Target="https://www.unikeyic.com/products/motor-driver/gr6212/1005575493.html" TargetMode="External"/><Relationship Id="rId276" Type="http://schemas.openxmlformats.org/officeDocument/2006/relationships/hyperlink" Target="https://www.unikeyic.com/products/ldo-controller/lm1117mpx-3-3-nopb/34021155.html?sku=1003001442151460" TargetMode="External"/><Relationship Id="rId107" Type="http://schemas.openxmlformats.org/officeDocument/2006/relationships/hyperlink" Target="https://www.unikeyic.com/products/blade-connector-housings/0351500200/18454904.html" TargetMode="External"/><Relationship Id="rId228" Type="http://schemas.openxmlformats.org/officeDocument/2006/relationships/hyperlink" Target="https://www.unikeyic.com/products/surface-mount-resistors/cr0603-16w-103jt/2487102.html" TargetMode="External"/><Relationship Id="rId106" Type="http://schemas.openxmlformats.org/officeDocument/2006/relationships/hyperlink" Target="https://www.unikeyic.com/products/blade-connector-housings/0351510210/34594861.html" TargetMode="External"/><Relationship Id="rId227" Type="http://schemas.openxmlformats.org/officeDocument/2006/relationships/hyperlink" Target="https://www.unikeyic.com/products/surface-mount-resistors/cr0603-16w-103jt/2487102.html" TargetMode="External"/><Relationship Id="rId105" Type="http://schemas.openxmlformats.org/officeDocument/2006/relationships/hyperlink" Target="https://www.unikeyic.com/products/blade-connector-housings/0351510210/34594861.html" TargetMode="External"/><Relationship Id="rId226" Type="http://schemas.openxmlformats.org/officeDocument/2006/relationships/hyperlink" Target="https://www.unikeyic.com/products/surface-mount-resistors/ar03btcx1002/28478659.html" TargetMode="External"/><Relationship Id="rId104" Type="http://schemas.openxmlformats.org/officeDocument/2006/relationships/hyperlink" Target="https://www.unikeyic.com/products/pushbutton-switches/tmg1-01/30003257.html" TargetMode="External"/><Relationship Id="rId225" Type="http://schemas.openxmlformats.org/officeDocument/2006/relationships/hyperlink" Target="https://www.unikeyic.com/products/surface-mount-resistors/ptfr0603b10k0p9/2937877.html" TargetMode="External"/><Relationship Id="rId109" Type="http://schemas.openxmlformats.org/officeDocument/2006/relationships/hyperlink" Target="https://www.unikeyic.com/products/blade-connector-housings/0351510210/34594861.html" TargetMode="External"/><Relationship Id="rId108" Type="http://schemas.openxmlformats.org/officeDocument/2006/relationships/hyperlink" Target="https://www.unikeyic.com/products/blade-connector-housings/351500100/19714676.html" TargetMode="External"/><Relationship Id="rId229" Type="http://schemas.openxmlformats.org/officeDocument/2006/relationships/hyperlink" Target="https://www.unikeyic.com/products/surface-mount-resistors/esr03ezpf60r4/26629815.html" TargetMode="External"/><Relationship Id="rId220" Type="http://schemas.openxmlformats.org/officeDocument/2006/relationships/hyperlink" Target="https://www.unikeyic.com/products/surface-mount-resistors/rc0603fr-074k7l/5502613.html" TargetMode="External"/><Relationship Id="rId103" Type="http://schemas.openxmlformats.org/officeDocument/2006/relationships/hyperlink" Target="https://www.unikeyic.com/products/pushbutton-switches/xkb8080-z/29657719.html" TargetMode="External"/><Relationship Id="rId224" Type="http://schemas.openxmlformats.org/officeDocument/2006/relationships/hyperlink" Target="https://www.unikeyic.com/products/surface-mount-resistors/cr0603-16w-103jt/2487102.html" TargetMode="External"/><Relationship Id="rId102" Type="http://schemas.openxmlformats.org/officeDocument/2006/relationships/hyperlink" Target="https://www.unikeyic.com/products/pushbutton-switches/tk-6800-1/30582253.html" TargetMode="External"/><Relationship Id="rId223" Type="http://schemas.openxmlformats.org/officeDocument/2006/relationships/hyperlink" Target="https://www.unikeyic.com/products/surface-mount-resistors/cr0603-16w-103jt/2487102.html" TargetMode="External"/><Relationship Id="rId101" Type="http://schemas.openxmlformats.org/officeDocument/2006/relationships/hyperlink" Target="https://www.unikeyic.com/products/pushbutton-switches/tk-6800-1/30582253.html" TargetMode="External"/><Relationship Id="rId222" Type="http://schemas.openxmlformats.org/officeDocument/2006/relationships/hyperlink" Target="https://www.unikeyic.com/products/surface-mount-resistors/ar03btcx1002/28478659.html" TargetMode="External"/><Relationship Id="rId100" Type="http://schemas.openxmlformats.org/officeDocument/2006/relationships/hyperlink" Target="https://www.unikeyic.com/products/pushbutton-switches/tmg1-01/30003257.html" TargetMode="External"/><Relationship Id="rId221" Type="http://schemas.openxmlformats.org/officeDocument/2006/relationships/hyperlink" Target="https://www.unikeyic.com/products/surface-mount-resistors/ptfr0603b10k0p9/2937877.html" TargetMode="External"/><Relationship Id="rId217" Type="http://schemas.openxmlformats.org/officeDocument/2006/relationships/hyperlink" Target="https://www.unikeyic.com/products/surface-mount-resistors/rk73b1jttd472g/30481446.html" TargetMode="External"/><Relationship Id="rId216" Type="http://schemas.openxmlformats.org/officeDocument/2006/relationships/hyperlink" Target="https://www.unikeyic.com/products/surface-mount-resistors/rc0603fr-074k7l/5502613.html" TargetMode="External"/><Relationship Id="rId215" Type="http://schemas.openxmlformats.org/officeDocument/2006/relationships/hyperlink" Target="https://www.unikeyic.com/products/surface-mount-resistors/rc0603fr-074k7l/5502613.html" TargetMode="External"/><Relationship Id="rId214" Type="http://schemas.openxmlformats.org/officeDocument/2006/relationships/hyperlink" Target="https://www.unikeyic.com/products/surface-mount-resistors/crt0603-fx-4701elf/6691641.html" TargetMode="External"/><Relationship Id="rId219" Type="http://schemas.openxmlformats.org/officeDocument/2006/relationships/hyperlink" Target="https://www.unikeyic.com/products/surface-mount-resistors/rc0603fr-074k7l/5502613.html" TargetMode="External"/><Relationship Id="rId218" Type="http://schemas.openxmlformats.org/officeDocument/2006/relationships/hyperlink" Target="https://www.unikeyic.com/products/surface-mount-resistors/crt0603-fx-4701elf/6691641.html" TargetMode="External"/><Relationship Id="rId213" Type="http://schemas.openxmlformats.org/officeDocument/2006/relationships/hyperlink" Target="https://www.unikeyic.com/products/surface-mount-resistors/rk73b1jttd472g/30481446.html" TargetMode="External"/><Relationship Id="rId212" Type="http://schemas.openxmlformats.org/officeDocument/2006/relationships/hyperlink" Target="https://www.unikeyic.com/products/surface-mount-resistors/ac0603fr-0760r4l/33884214.html" TargetMode="External"/><Relationship Id="rId211" Type="http://schemas.openxmlformats.org/officeDocument/2006/relationships/hyperlink" Target="https://www.unikeyic.com/products/surface-mount-resistors/ac0603fr-0760r4l/33884214.html" TargetMode="External"/><Relationship Id="rId210" Type="http://schemas.openxmlformats.org/officeDocument/2006/relationships/hyperlink" Target="https://www.unikeyic.com/products/surface-mount-resistors/rt0603brd0760r4l/29063300.html" TargetMode="External"/><Relationship Id="rId129" Type="http://schemas.openxmlformats.org/officeDocument/2006/relationships/hyperlink" Target="https://www.unikeyic.com/products/signal-relays/hk4100f-dc12v-shg/1209362.html" TargetMode="External"/><Relationship Id="rId128" Type="http://schemas.openxmlformats.org/officeDocument/2006/relationships/hyperlink" Target="https://www.unikeyic.com/products/signal-relays/v23079b1202b301/30598845.html" TargetMode="External"/><Relationship Id="rId249" Type="http://schemas.openxmlformats.org/officeDocument/2006/relationships/hyperlink" Target="https://www.unikeyic.com/products/surface-mount-resistors/era-3aeb7681v/33626659.html" TargetMode="External"/><Relationship Id="rId127" Type="http://schemas.openxmlformats.org/officeDocument/2006/relationships/hyperlink" Target="https://www.unikeyic.com/products/signal-relays/1649222-4/33950113.html" TargetMode="External"/><Relationship Id="rId248" Type="http://schemas.openxmlformats.org/officeDocument/2006/relationships/hyperlink" Target="https://www.unikeyic.com/products/surface-mount-resistors/cr0603-16w-103jt/2487102.html" TargetMode="External"/><Relationship Id="rId126" Type="http://schemas.openxmlformats.org/officeDocument/2006/relationships/hyperlink" Target="https://www.unikeyic.com/products/signal-relays/hfd16-4-5-zfh3n/102142.html" TargetMode="External"/><Relationship Id="rId247" Type="http://schemas.openxmlformats.org/officeDocument/2006/relationships/hyperlink" Target="https://www.unikeyic.com/products/surface-mount-resistors/cr0603-16w-103jt/2487102.html" TargetMode="External"/><Relationship Id="rId121" Type="http://schemas.openxmlformats.org/officeDocument/2006/relationships/hyperlink" Target="https://www.unikeyic.com/products/blade-connector-housings/0351510210/34594861.html" TargetMode="External"/><Relationship Id="rId242" Type="http://schemas.openxmlformats.org/officeDocument/2006/relationships/hyperlink" Target="https://www.unikeyic.com/products/surface-mount-resistors/ar03btcx1002/28478659.html" TargetMode="External"/><Relationship Id="rId120" Type="http://schemas.openxmlformats.org/officeDocument/2006/relationships/hyperlink" Target="https://www.unikeyic.com/products/blade-connector-housings/351500100/19714676.html" TargetMode="External"/><Relationship Id="rId241" Type="http://schemas.openxmlformats.org/officeDocument/2006/relationships/hyperlink" Target="https://www.unikeyic.com/products/surface-mount-resistors/ptfr0603b10k0p9/2937877.html" TargetMode="External"/><Relationship Id="rId240" Type="http://schemas.openxmlformats.org/officeDocument/2006/relationships/hyperlink" Target="https://www.unikeyic.com/products/surface-mount-resistors/cr0603-16w-103jt/2487102.html" TargetMode="External"/><Relationship Id="rId125" Type="http://schemas.openxmlformats.org/officeDocument/2006/relationships/hyperlink" Target="https://www.unikeyic.com/products/signal-relays/hk4100f-dc12v-shg/1209362.html" TargetMode="External"/><Relationship Id="rId246" Type="http://schemas.openxmlformats.org/officeDocument/2006/relationships/hyperlink" Target="https://www.unikeyic.com/products/surface-mount-resistors/ar03btcx1002/28478659.html" TargetMode="External"/><Relationship Id="rId124" Type="http://schemas.openxmlformats.org/officeDocument/2006/relationships/hyperlink" Target="https://www.unikeyic.com/products/blade-connector-housings/351500100/19714676.html" TargetMode="External"/><Relationship Id="rId245" Type="http://schemas.openxmlformats.org/officeDocument/2006/relationships/hyperlink" Target="https://www.unikeyic.com/products/surface-mount-resistors/ptfr0603b10k0p9/2937877.html" TargetMode="External"/><Relationship Id="rId123" Type="http://schemas.openxmlformats.org/officeDocument/2006/relationships/hyperlink" Target="https://www.unikeyic.com/products/blade-connector-housings/0351500200/18454904.html" TargetMode="External"/><Relationship Id="rId244" Type="http://schemas.openxmlformats.org/officeDocument/2006/relationships/hyperlink" Target="https://www.unikeyic.com/products/surface-mount-resistors/cr0603-16w-103jt/2487102.html" TargetMode="External"/><Relationship Id="rId122" Type="http://schemas.openxmlformats.org/officeDocument/2006/relationships/hyperlink" Target="https://www.unikeyic.com/products/blade-connector-housings/0351510210/34594861.html" TargetMode="External"/><Relationship Id="rId243" Type="http://schemas.openxmlformats.org/officeDocument/2006/relationships/hyperlink" Target="https://www.unikeyic.com/products/surface-mount-resistors/cr0603-16w-103jt/2487102.html" TargetMode="External"/><Relationship Id="rId95" Type="http://schemas.openxmlformats.org/officeDocument/2006/relationships/hyperlink" Target="https://www.unikeyic.com/products/magnetic-beads/fba04ha450bb-00/23676552.html" TargetMode="External"/><Relationship Id="rId94" Type="http://schemas.openxmlformats.org/officeDocument/2006/relationships/hyperlink" Target="https://www.unikeyic.com/products/magnetic-beads/28c0236-0bw-10/28061261.html" TargetMode="External"/><Relationship Id="rId97" Type="http://schemas.openxmlformats.org/officeDocument/2006/relationships/hyperlink" Target="https://www.unikeyic.com/products/pushbutton-switches/tk-6800-1/30582253.html" TargetMode="External"/><Relationship Id="rId96" Type="http://schemas.openxmlformats.org/officeDocument/2006/relationships/hyperlink" Target="https://www.unikeyic.com/products/magnetic-beads/fba04ha450bb-00/23676552.html" TargetMode="External"/><Relationship Id="rId99" Type="http://schemas.openxmlformats.org/officeDocument/2006/relationships/hyperlink" Target="https://www.unikeyic.com/products/pushbutton-switches/xkb8080-z/29657719.html" TargetMode="External"/><Relationship Id="rId98" Type="http://schemas.openxmlformats.org/officeDocument/2006/relationships/hyperlink" Target="https://www.unikeyic.com/products/pushbutton-switches/tk-6800-1/30582253.html" TargetMode="External"/><Relationship Id="rId91" Type="http://schemas.openxmlformats.org/officeDocument/2006/relationships/hyperlink" Target="https://www.unikeyic.com/products/current-stabilizing-diodes/lm317/871062347.html" TargetMode="External"/><Relationship Id="rId90" Type="http://schemas.openxmlformats.org/officeDocument/2006/relationships/hyperlink" Target="https://www.unikeyic.com/products/current-stabilizing-diodes/tlp548j-tp1-f/8251332.html" TargetMode="External"/><Relationship Id="rId93" Type="http://schemas.openxmlformats.org/officeDocument/2006/relationships/hyperlink" Target="https://www.unikeyic.com/products/magnetic-beads/28c0236-0bw-10/28061261.html" TargetMode="External"/><Relationship Id="rId92" Type="http://schemas.openxmlformats.org/officeDocument/2006/relationships/hyperlink" Target="https://www.unikeyic.com/products/current-stabilizing-diodes/lm317/871062347.html" TargetMode="External"/><Relationship Id="rId118" Type="http://schemas.openxmlformats.org/officeDocument/2006/relationships/hyperlink" Target="https://www.unikeyic.com/products/blade-connector-housings/0351510210/34594861.html" TargetMode="External"/><Relationship Id="rId239" Type="http://schemas.openxmlformats.org/officeDocument/2006/relationships/hyperlink" Target="https://www.unikeyic.com/products/surface-mount-resistors/cr0603-16w-103jt/2487102.html" TargetMode="External"/><Relationship Id="rId117" Type="http://schemas.openxmlformats.org/officeDocument/2006/relationships/hyperlink" Target="https://www.unikeyic.com/products/blade-connector-housings/0351510210/34594861.html" TargetMode="External"/><Relationship Id="rId238" Type="http://schemas.openxmlformats.org/officeDocument/2006/relationships/hyperlink" Target="https://www.unikeyic.com/products/surface-mount-resistors/ar03btcx1002/28478659.html" TargetMode="External"/><Relationship Id="rId116" Type="http://schemas.openxmlformats.org/officeDocument/2006/relationships/hyperlink" Target="https://www.unikeyic.com/products/blade-connector-housings/351500100/19714676.html" TargetMode="External"/><Relationship Id="rId237" Type="http://schemas.openxmlformats.org/officeDocument/2006/relationships/hyperlink" Target="https://www.unikeyic.com/products/surface-mount-resistors/ptfr0603b10k0p9/2937877.html" TargetMode="External"/><Relationship Id="rId115" Type="http://schemas.openxmlformats.org/officeDocument/2006/relationships/hyperlink" Target="https://www.unikeyic.com/products/blade-connector-housings/0351500200/18454904.html" TargetMode="External"/><Relationship Id="rId236" Type="http://schemas.openxmlformats.org/officeDocument/2006/relationships/hyperlink" Target="https://www.unikeyic.com/products/surface-mount-resistors/ac0603fr-077k68l/9459382.html" TargetMode="External"/><Relationship Id="rId119" Type="http://schemas.openxmlformats.org/officeDocument/2006/relationships/hyperlink" Target="https://www.unikeyic.com/products/blade-connector-housings/0351500200/18454904.html" TargetMode="External"/><Relationship Id="rId110" Type="http://schemas.openxmlformats.org/officeDocument/2006/relationships/hyperlink" Target="https://www.unikeyic.com/products/blade-connector-housings/0351510210/34594861.html" TargetMode="External"/><Relationship Id="rId231" Type="http://schemas.openxmlformats.org/officeDocument/2006/relationships/hyperlink" Target="https://www.unikeyic.com/products/surface-mount-resistors/ac0603fr-0760r4l/33884214.html" TargetMode="External"/><Relationship Id="rId230" Type="http://schemas.openxmlformats.org/officeDocument/2006/relationships/hyperlink" Target="https://www.unikeyic.com/products/surface-mount-resistors/rt0603brd0760r4l/29063300.html" TargetMode="External"/><Relationship Id="rId114" Type="http://schemas.openxmlformats.org/officeDocument/2006/relationships/hyperlink" Target="https://www.unikeyic.com/products/blade-connector-housings/0351510210/34594861.html" TargetMode="External"/><Relationship Id="rId235" Type="http://schemas.openxmlformats.org/officeDocument/2006/relationships/hyperlink" Target="https://www.unikeyic.com/products/surface-mount-resistors/ac0603fr-077k68l/9459382.html" TargetMode="External"/><Relationship Id="rId113" Type="http://schemas.openxmlformats.org/officeDocument/2006/relationships/hyperlink" Target="https://www.unikeyic.com/products/blade-connector-housings/0351510210/34594861.html" TargetMode="External"/><Relationship Id="rId234" Type="http://schemas.openxmlformats.org/officeDocument/2006/relationships/hyperlink" Target="https://www.unikeyic.com/products/surface-mount-resistors/rt0603brd077k68l/27672674.html" TargetMode="External"/><Relationship Id="rId112" Type="http://schemas.openxmlformats.org/officeDocument/2006/relationships/hyperlink" Target="https://www.unikeyic.com/products/blade-connector-housings/351500100/19714676.html" TargetMode="External"/><Relationship Id="rId233" Type="http://schemas.openxmlformats.org/officeDocument/2006/relationships/hyperlink" Target="https://www.unikeyic.com/products/surface-mount-resistors/era-3aeb7681v/33626659.html" TargetMode="External"/><Relationship Id="rId111" Type="http://schemas.openxmlformats.org/officeDocument/2006/relationships/hyperlink" Target="https://www.unikeyic.com/products/blade-connector-housings/0351500200/18454904.html" TargetMode="External"/><Relationship Id="rId232" Type="http://schemas.openxmlformats.org/officeDocument/2006/relationships/hyperlink" Target="https://www.unikeyic.com/products/surface-mount-resistors/ac0603fr-0760r4l/33884214.html" TargetMode="External"/><Relationship Id="rId305" Type="http://schemas.openxmlformats.org/officeDocument/2006/relationships/hyperlink" Target="https://www.unikeyic.com/products/crystals/8z24000014/15871110.html" TargetMode="External"/><Relationship Id="rId304" Type="http://schemas.openxmlformats.org/officeDocument/2006/relationships/hyperlink" Target="https://www.unikeyic.com/products/rs232-ic/max232/871452131.html?sku=1003001026511347" TargetMode="External"/><Relationship Id="rId303" Type="http://schemas.openxmlformats.org/officeDocument/2006/relationships/hyperlink" Target="https://www.unikeyic.com/products/other-interface/max232dr/22571007.html?sku=1003001444278106" TargetMode="External"/><Relationship Id="rId302" Type="http://schemas.openxmlformats.org/officeDocument/2006/relationships/hyperlink" Target="https://www.unikeyic.com/products/other-interface/max232dr/22571007.html?sku=1003001444278106" TargetMode="External"/><Relationship Id="rId309" Type="http://schemas.openxmlformats.org/officeDocument/2006/relationships/hyperlink" Target="https://jlcpcb.com/" TargetMode="External"/><Relationship Id="rId308" Type="http://schemas.openxmlformats.org/officeDocument/2006/relationships/hyperlink" Target="https://www.unikeyic.com/products/crystals/x3sb27-000f15e10a/1000996296.html" TargetMode="External"/><Relationship Id="rId307" Type="http://schemas.openxmlformats.org/officeDocument/2006/relationships/hyperlink" Target="https://www.unikeyic.com/products/crystals/8z24000014/15871110.html" TargetMode="External"/><Relationship Id="rId306" Type="http://schemas.openxmlformats.org/officeDocument/2006/relationships/hyperlink" Target="https://www.unikeyic.com/products/crystals/8z24000014/15871110.html" TargetMode="External"/><Relationship Id="rId301" Type="http://schemas.openxmlformats.org/officeDocument/2006/relationships/hyperlink" Target="https://www.unikeyic.com/products/other-interface/max232dr/22571007.html?sku=1003001444278106" TargetMode="External"/><Relationship Id="rId300" Type="http://schemas.openxmlformats.org/officeDocument/2006/relationships/hyperlink" Target="https://www.unikeyic.com/products/other-interface/tja1049tkj/22647028.html?sku=1003001014917762" TargetMode="External"/><Relationship Id="rId206" Type="http://schemas.openxmlformats.org/officeDocument/2006/relationships/hyperlink" Target="https://www.unikeyic.com/products/fans-and-thermal-management/ick-smd-c-10-sa/19099179.html" TargetMode="External"/><Relationship Id="rId205" Type="http://schemas.openxmlformats.org/officeDocument/2006/relationships/hyperlink" Target="https://www.unikeyic.com/products/fans-and-thermal-management/ick-smd-c-10-sa/19099179.html" TargetMode="External"/><Relationship Id="rId204" Type="http://schemas.openxmlformats.org/officeDocument/2006/relationships/hyperlink" Target="https://www.unikeyic.com/products/surface-mount-resistors/rc0603fr-074k7l/5502613.html" TargetMode="External"/><Relationship Id="rId203" Type="http://schemas.openxmlformats.org/officeDocument/2006/relationships/hyperlink" Target="https://www.unikeyic.com/products/surface-mount-resistors/rc0603fr-074k7l/5502613.html" TargetMode="External"/><Relationship Id="rId209" Type="http://schemas.openxmlformats.org/officeDocument/2006/relationships/hyperlink" Target="https://www.unikeyic.com/products/surface-mount-resistors/esr03ezpf60r4/26629815.html" TargetMode="External"/><Relationship Id="rId208" Type="http://schemas.openxmlformats.org/officeDocument/2006/relationships/hyperlink" Target="https://www.unikeyic.com/products/fans-and-thermal-management/573100d00010g/20312133.html" TargetMode="External"/><Relationship Id="rId207" Type="http://schemas.openxmlformats.org/officeDocument/2006/relationships/hyperlink" Target="https://www.unikeyic.com/products/fans-and-thermal-management/thjp0805ast1/22262489.html" TargetMode="External"/><Relationship Id="rId202" Type="http://schemas.openxmlformats.org/officeDocument/2006/relationships/hyperlink" Target="https://www.unikeyic.com/products/surface-mount-resistors/crt0603-fx-4701elf/6691641.html" TargetMode="External"/><Relationship Id="rId201" Type="http://schemas.openxmlformats.org/officeDocument/2006/relationships/hyperlink" Target="https://www.unikeyic.com/products/surface-mount-resistors/rk73b1jttd472g/30481446.html" TargetMode="External"/><Relationship Id="rId200" Type="http://schemas.openxmlformats.org/officeDocument/2006/relationships/hyperlink" Target="https://www.unikeyic.com/products/surface-mount-resistors/cr0603-16w-103jt/2487102.html" TargetMode="External"/><Relationship Id="rId313" Type="http://schemas.openxmlformats.org/officeDocument/2006/relationships/drawing" Target="../drawings/drawing1.xml"/><Relationship Id="rId312" Type="http://schemas.openxmlformats.org/officeDocument/2006/relationships/hyperlink" Target="https://jlcpcb.com/" TargetMode="External"/><Relationship Id="rId311" Type="http://schemas.openxmlformats.org/officeDocument/2006/relationships/hyperlink" Target="https://jlcpcb.com/" TargetMode="External"/><Relationship Id="rId310" Type="http://schemas.openxmlformats.org/officeDocument/2006/relationships/hyperlink" Target="https://jlcpc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1" t="s">
        <v>0</v>
      </c>
      <c r="B2" s="1" t="s">
        <v>1</v>
      </c>
      <c r="C2" s="1" t="s">
        <v>2</v>
      </c>
      <c r="D2" s="1" t="s">
        <v>3</v>
      </c>
      <c r="F2" s="1" t="s">
        <v>4</v>
      </c>
      <c r="G2" s="1" t="s">
        <v>1</v>
      </c>
      <c r="H2" s="1" t="s">
        <v>2</v>
      </c>
      <c r="I2" s="1" t="s">
        <v>3</v>
      </c>
      <c r="K2" s="1" t="s">
        <v>5</v>
      </c>
      <c r="L2" s="1" t="s">
        <v>1</v>
      </c>
      <c r="M2" s="1" t="s">
        <v>2</v>
      </c>
      <c r="N2" s="1" t="s">
        <v>3</v>
      </c>
      <c r="P2" s="1" t="s">
        <v>6</v>
      </c>
      <c r="Q2" s="1" t="s">
        <v>1</v>
      </c>
      <c r="R2" s="1" t="s">
        <v>2</v>
      </c>
      <c r="S2" s="1" t="s">
        <v>3</v>
      </c>
    </row>
    <row r="3">
      <c r="A3" s="1" t="s">
        <v>7</v>
      </c>
      <c r="B3" s="1">
        <v>0.0392</v>
      </c>
      <c r="C3" s="1">
        <f t="shared" ref="C3:C80" si="1">B3*10</f>
        <v>0.392</v>
      </c>
      <c r="D3" s="2" t="s">
        <v>8</v>
      </c>
      <c r="F3" s="1" t="s">
        <v>7</v>
      </c>
      <c r="G3" s="1">
        <v>0.0314</v>
      </c>
      <c r="H3" s="1">
        <f t="shared" ref="H3:H80" si="2">G3*50</f>
        <v>1.57</v>
      </c>
      <c r="I3" s="2" t="s">
        <v>8</v>
      </c>
      <c r="K3" s="1" t="s">
        <v>7</v>
      </c>
      <c r="L3" s="1">
        <v>0.0251</v>
      </c>
      <c r="M3" s="3">
        <f t="shared" ref="M3:M80" si="3">L3*1000</f>
        <v>25.1</v>
      </c>
      <c r="N3" s="2" t="s">
        <v>9</v>
      </c>
      <c r="P3" s="1" t="s">
        <v>7</v>
      </c>
      <c r="Q3" s="1">
        <v>0.0251</v>
      </c>
      <c r="R3" s="3">
        <f t="shared" ref="R3:R80" si="4">Q3*20000</f>
        <v>502</v>
      </c>
      <c r="S3" s="2" t="s">
        <v>9</v>
      </c>
    </row>
    <row r="4">
      <c r="A4" s="1" t="s">
        <v>10</v>
      </c>
      <c r="B4" s="1">
        <v>0.0392</v>
      </c>
      <c r="C4" s="1">
        <f t="shared" si="1"/>
        <v>0.392</v>
      </c>
      <c r="D4" s="2" t="s">
        <v>8</v>
      </c>
      <c r="F4" s="1" t="s">
        <v>10</v>
      </c>
      <c r="G4" s="1">
        <v>0.0314</v>
      </c>
      <c r="H4" s="1">
        <f t="shared" si="2"/>
        <v>1.57</v>
      </c>
      <c r="I4" s="2" t="s">
        <v>8</v>
      </c>
      <c r="K4" s="1" t="s">
        <v>10</v>
      </c>
      <c r="L4" s="1">
        <v>0.0251</v>
      </c>
      <c r="M4" s="3">
        <f t="shared" si="3"/>
        <v>25.1</v>
      </c>
      <c r="N4" s="2" t="s">
        <v>9</v>
      </c>
      <c r="P4" s="1" t="s">
        <v>10</v>
      </c>
      <c r="Q4" s="1">
        <v>0.0251</v>
      </c>
      <c r="R4" s="3">
        <f t="shared" si="4"/>
        <v>502</v>
      </c>
      <c r="S4" s="2" t="s">
        <v>9</v>
      </c>
    </row>
    <row r="5">
      <c r="A5" s="1" t="s">
        <v>11</v>
      </c>
      <c r="B5" s="1">
        <v>0.245</v>
      </c>
      <c r="C5" s="1">
        <f t="shared" si="1"/>
        <v>2.45</v>
      </c>
      <c r="D5" s="2" t="s">
        <v>12</v>
      </c>
      <c r="F5" s="1" t="s">
        <v>11</v>
      </c>
      <c r="G5" s="1">
        <v>0.245</v>
      </c>
      <c r="H5" s="1">
        <f t="shared" si="2"/>
        <v>12.25</v>
      </c>
      <c r="I5" s="2" t="s">
        <v>12</v>
      </c>
      <c r="K5" s="1" t="s">
        <v>11</v>
      </c>
      <c r="L5" s="1">
        <v>0.0205</v>
      </c>
      <c r="M5" s="3">
        <f t="shared" si="3"/>
        <v>20.5</v>
      </c>
      <c r="N5" s="2" t="s">
        <v>13</v>
      </c>
      <c r="P5" s="1" t="s">
        <v>11</v>
      </c>
      <c r="Q5" s="1">
        <v>0.007</v>
      </c>
      <c r="R5" s="3">
        <f t="shared" si="4"/>
        <v>140</v>
      </c>
      <c r="S5" s="2" t="s">
        <v>14</v>
      </c>
    </row>
    <row r="6">
      <c r="A6" s="1" t="s">
        <v>15</v>
      </c>
      <c r="B6" s="1">
        <v>0.245</v>
      </c>
      <c r="C6" s="1">
        <f t="shared" si="1"/>
        <v>2.45</v>
      </c>
      <c r="D6" s="2" t="s">
        <v>12</v>
      </c>
      <c r="F6" s="1" t="s">
        <v>15</v>
      </c>
      <c r="G6" s="1">
        <v>0.245</v>
      </c>
      <c r="H6" s="1">
        <f t="shared" si="2"/>
        <v>12.25</v>
      </c>
      <c r="I6" s="2" t="s">
        <v>12</v>
      </c>
      <c r="K6" s="1" t="s">
        <v>15</v>
      </c>
      <c r="L6" s="1">
        <v>0.0205</v>
      </c>
      <c r="M6" s="3">
        <f t="shared" si="3"/>
        <v>20.5</v>
      </c>
      <c r="N6" s="2" t="s">
        <v>13</v>
      </c>
      <c r="P6" s="1" t="s">
        <v>15</v>
      </c>
      <c r="Q6" s="1">
        <v>0.007</v>
      </c>
      <c r="R6" s="3">
        <f t="shared" si="4"/>
        <v>140</v>
      </c>
      <c r="S6" s="2" t="s">
        <v>14</v>
      </c>
    </row>
    <row r="7">
      <c r="A7" s="1" t="s">
        <v>16</v>
      </c>
      <c r="B7" s="1">
        <v>0.0173</v>
      </c>
      <c r="C7" s="1">
        <f t="shared" si="1"/>
        <v>0.173</v>
      </c>
      <c r="D7" s="2" t="s">
        <v>17</v>
      </c>
      <c r="F7" s="1" t="s">
        <v>16</v>
      </c>
      <c r="G7" s="1">
        <v>0.0085</v>
      </c>
      <c r="H7" s="1">
        <f t="shared" si="2"/>
        <v>0.425</v>
      </c>
      <c r="I7" s="2" t="s">
        <v>18</v>
      </c>
      <c r="K7" s="1" t="s">
        <v>16</v>
      </c>
      <c r="L7" s="1">
        <v>0.0073</v>
      </c>
      <c r="M7" s="3">
        <f t="shared" si="3"/>
        <v>7.3</v>
      </c>
      <c r="N7" s="2" t="s">
        <v>18</v>
      </c>
      <c r="P7" s="1" t="s">
        <v>16</v>
      </c>
      <c r="Q7" s="1">
        <v>0.0133</v>
      </c>
      <c r="R7" s="3">
        <f t="shared" si="4"/>
        <v>266</v>
      </c>
      <c r="S7" s="2" t="s">
        <v>19</v>
      </c>
    </row>
    <row r="8">
      <c r="A8" s="1" t="s">
        <v>20</v>
      </c>
      <c r="B8" s="1">
        <v>0.0173</v>
      </c>
      <c r="C8" s="1">
        <f t="shared" si="1"/>
        <v>0.173</v>
      </c>
      <c r="D8" s="2" t="s">
        <v>17</v>
      </c>
      <c r="F8" s="1" t="s">
        <v>20</v>
      </c>
      <c r="G8" s="1">
        <v>0.0085</v>
      </c>
      <c r="H8" s="1">
        <f t="shared" si="2"/>
        <v>0.425</v>
      </c>
      <c r="I8" s="2" t="s">
        <v>18</v>
      </c>
      <c r="K8" s="1" t="s">
        <v>20</v>
      </c>
      <c r="L8" s="1">
        <v>0.0073</v>
      </c>
      <c r="M8" s="3">
        <f t="shared" si="3"/>
        <v>7.3</v>
      </c>
      <c r="N8" s="2" t="s">
        <v>18</v>
      </c>
      <c r="P8" s="1" t="s">
        <v>20</v>
      </c>
      <c r="Q8" s="1">
        <v>0.0133</v>
      </c>
      <c r="R8" s="3">
        <f t="shared" si="4"/>
        <v>266</v>
      </c>
      <c r="S8" s="2" t="s">
        <v>19</v>
      </c>
    </row>
    <row r="9">
      <c r="A9" s="1" t="s">
        <v>21</v>
      </c>
      <c r="B9" s="1">
        <v>0.0173</v>
      </c>
      <c r="C9" s="1">
        <f t="shared" si="1"/>
        <v>0.173</v>
      </c>
      <c r="D9" s="2" t="s">
        <v>17</v>
      </c>
      <c r="F9" s="1" t="s">
        <v>21</v>
      </c>
      <c r="G9" s="1">
        <v>0.0085</v>
      </c>
      <c r="H9" s="1">
        <f t="shared" si="2"/>
        <v>0.425</v>
      </c>
      <c r="I9" s="2" t="s">
        <v>18</v>
      </c>
      <c r="K9" s="1" t="s">
        <v>21</v>
      </c>
      <c r="L9" s="1">
        <v>0.0073</v>
      </c>
      <c r="M9" s="3">
        <f t="shared" si="3"/>
        <v>7.3</v>
      </c>
      <c r="N9" s="2" t="s">
        <v>18</v>
      </c>
      <c r="P9" s="1" t="s">
        <v>21</v>
      </c>
      <c r="Q9" s="1">
        <v>0.0133</v>
      </c>
      <c r="R9" s="3">
        <f t="shared" si="4"/>
        <v>266</v>
      </c>
      <c r="S9" s="2" t="s">
        <v>19</v>
      </c>
    </row>
    <row r="10">
      <c r="A10" s="1" t="s">
        <v>22</v>
      </c>
      <c r="B10" s="1">
        <v>0.0173</v>
      </c>
      <c r="C10" s="1">
        <f t="shared" si="1"/>
        <v>0.173</v>
      </c>
      <c r="D10" s="2" t="s">
        <v>17</v>
      </c>
      <c r="F10" s="1" t="s">
        <v>22</v>
      </c>
      <c r="G10" s="1">
        <v>0.0085</v>
      </c>
      <c r="H10" s="1">
        <f t="shared" si="2"/>
        <v>0.425</v>
      </c>
      <c r="I10" s="2" t="s">
        <v>18</v>
      </c>
      <c r="K10" s="1" t="s">
        <v>22</v>
      </c>
      <c r="L10" s="1">
        <v>0.0073</v>
      </c>
      <c r="M10" s="3">
        <f t="shared" si="3"/>
        <v>7.3</v>
      </c>
      <c r="N10" s="2" t="s">
        <v>18</v>
      </c>
      <c r="P10" s="1" t="s">
        <v>22</v>
      </c>
      <c r="Q10" s="1">
        <v>0.0133</v>
      </c>
      <c r="R10" s="3">
        <f t="shared" si="4"/>
        <v>266</v>
      </c>
      <c r="S10" s="2" t="s">
        <v>19</v>
      </c>
    </row>
    <row r="11">
      <c r="A11" s="1" t="s">
        <v>23</v>
      </c>
      <c r="B11" s="1">
        <v>0.0173</v>
      </c>
      <c r="C11" s="1">
        <f t="shared" si="1"/>
        <v>0.173</v>
      </c>
      <c r="D11" s="2" t="s">
        <v>17</v>
      </c>
      <c r="F11" s="1" t="s">
        <v>23</v>
      </c>
      <c r="G11" s="1">
        <v>0.0085</v>
      </c>
      <c r="H11" s="1">
        <f t="shared" si="2"/>
        <v>0.425</v>
      </c>
      <c r="I11" s="2" t="s">
        <v>18</v>
      </c>
      <c r="K11" s="1" t="s">
        <v>23</v>
      </c>
      <c r="L11" s="1">
        <v>0.0073</v>
      </c>
      <c r="M11" s="3">
        <f t="shared" si="3"/>
        <v>7.3</v>
      </c>
      <c r="N11" s="2" t="s">
        <v>18</v>
      </c>
      <c r="P11" s="1" t="s">
        <v>23</v>
      </c>
      <c r="Q11" s="1">
        <v>0.0133</v>
      </c>
      <c r="R11" s="3">
        <f t="shared" si="4"/>
        <v>266</v>
      </c>
      <c r="S11" s="2" t="s">
        <v>19</v>
      </c>
    </row>
    <row r="12">
      <c r="A12" s="1" t="s">
        <v>24</v>
      </c>
      <c r="B12" s="1">
        <v>0.0392</v>
      </c>
      <c r="C12" s="1">
        <f t="shared" si="1"/>
        <v>0.392</v>
      </c>
      <c r="D12" s="2" t="s">
        <v>8</v>
      </c>
      <c r="F12" s="1" t="s">
        <v>24</v>
      </c>
      <c r="G12" s="1">
        <v>0.0314</v>
      </c>
      <c r="H12" s="1">
        <f t="shared" si="2"/>
        <v>1.57</v>
      </c>
      <c r="I12" s="2" t="s">
        <v>8</v>
      </c>
      <c r="K12" s="1" t="s">
        <v>24</v>
      </c>
      <c r="L12" s="1">
        <v>0.0289</v>
      </c>
      <c r="M12" s="3">
        <f t="shared" si="3"/>
        <v>28.9</v>
      </c>
      <c r="N12" s="2" t="s">
        <v>9</v>
      </c>
      <c r="P12" s="1" t="s">
        <v>24</v>
      </c>
      <c r="Q12" s="1">
        <v>0.0251</v>
      </c>
      <c r="R12" s="3">
        <f t="shared" si="4"/>
        <v>502</v>
      </c>
      <c r="S12" s="2" t="s">
        <v>9</v>
      </c>
    </row>
    <row r="13">
      <c r="A13" s="1" t="s">
        <v>25</v>
      </c>
      <c r="B13" s="1">
        <v>0.3301</v>
      </c>
      <c r="C13" s="1">
        <f t="shared" si="1"/>
        <v>3.301</v>
      </c>
      <c r="D13" s="2" t="s">
        <v>26</v>
      </c>
      <c r="F13" s="1" t="s">
        <v>25</v>
      </c>
      <c r="G13" s="1">
        <v>0.3301</v>
      </c>
      <c r="H13" s="1">
        <f t="shared" si="2"/>
        <v>16.505</v>
      </c>
      <c r="I13" s="2" t="s">
        <v>26</v>
      </c>
      <c r="K13" s="1" t="s">
        <v>25</v>
      </c>
      <c r="L13" s="1">
        <v>0.0561</v>
      </c>
      <c r="M13" s="3">
        <f t="shared" si="3"/>
        <v>56.1</v>
      </c>
      <c r="N13" s="2" t="s">
        <v>27</v>
      </c>
      <c r="P13" s="1" t="s">
        <v>25</v>
      </c>
      <c r="Q13" s="1">
        <v>0.0198</v>
      </c>
      <c r="R13" s="3">
        <f t="shared" si="4"/>
        <v>396</v>
      </c>
      <c r="S13" s="2" t="s">
        <v>28</v>
      </c>
    </row>
    <row r="14">
      <c r="A14" s="1" t="s">
        <v>29</v>
      </c>
      <c r="B14" s="1">
        <v>0.3512</v>
      </c>
      <c r="C14" s="1">
        <f t="shared" si="1"/>
        <v>3.512</v>
      </c>
      <c r="D14" s="2" t="s">
        <v>30</v>
      </c>
      <c r="F14" s="1" t="s">
        <v>29</v>
      </c>
      <c r="G14" s="1">
        <v>0.2953</v>
      </c>
      <c r="H14" s="1">
        <f t="shared" si="2"/>
        <v>14.765</v>
      </c>
      <c r="I14" s="2" t="s">
        <v>30</v>
      </c>
      <c r="K14" s="1" t="s">
        <v>29</v>
      </c>
      <c r="L14" s="1">
        <v>0.2436</v>
      </c>
      <c r="M14" s="3">
        <f t="shared" si="3"/>
        <v>243.6</v>
      </c>
      <c r="N14" s="2" t="s">
        <v>30</v>
      </c>
      <c r="P14" s="1" t="s">
        <v>29</v>
      </c>
      <c r="Q14" s="1">
        <v>0.2104</v>
      </c>
      <c r="R14" s="3">
        <f t="shared" si="4"/>
        <v>4208</v>
      </c>
      <c r="S14" s="2" t="s">
        <v>31</v>
      </c>
    </row>
    <row r="15">
      <c r="A15" s="1" t="s">
        <v>32</v>
      </c>
      <c r="B15" s="1">
        <v>0.1428</v>
      </c>
      <c r="C15" s="1">
        <f t="shared" si="1"/>
        <v>1.428</v>
      </c>
      <c r="D15" s="2" t="s">
        <v>33</v>
      </c>
      <c r="F15" s="1" t="s">
        <v>32</v>
      </c>
      <c r="G15" s="1">
        <v>0.1428</v>
      </c>
      <c r="H15" s="1">
        <f t="shared" si="2"/>
        <v>7.14</v>
      </c>
      <c r="I15" s="2" t="s">
        <v>33</v>
      </c>
      <c r="K15" s="1" t="s">
        <v>32</v>
      </c>
      <c r="L15" s="1">
        <v>0.0566</v>
      </c>
      <c r="M15" s="3">
        <f t="shared" si="3"/>
        <v>56.6</v>
      </c>
      <c r="N15" s="2" t="s">
        <v>34</v>
      </c>
      <c r="P15" s="1" t="s">
        <v>32</v>
      </c>
      <c r="Q15" s="1">
        <v>0.0052</v>
      </c>
      <c r="R15" s="3">
        <f t="shared" si="4"/>
        <v>104</v>
      </c>
      <c r="S15" s="2" t="s">
        <v>35</v>
      </c>
    </row>
    <row r="16">
      <c r="A16" s="1" t="s">
        <v>36</v>
      </c>
      <c r="B16" s="1">
        <v>0.1428</v>
      </c>
      <c r="C16" s="1">
        <f t="shared" si="1"/>
        <v>1.428</v>
      </c>
      <c r="D16" s="2" t="s">
        <v>33</v>
      </c>
      <c r="F16" s="1" t="s">
        <v>36</v>
      </c>
      <c r="G16" s="1">
        <v>0.1428</v>
      </c>
      <c r="H16" s="1">
        <f t="shared" si="2"/>
        <v>7.14</v>
      </c>
      <c r="I16" s="2" t="s">
        <v>33</v>
      </c>
      <c r="K16" s="1" t="s">
        <v>36</v>
      </c>
      <c r="L16" s="1">
        <v>0.0566</v>
      </c>
      <c r="M16" s="3">
        <f t="shared" si="3"/>
        <v>56.6</v>
      </c>
      <c r="N16" s="2" t="s">
        <v>34</v>
      </c>
      <c r="P16" s="1" t="s">
        <v>36</v>
      </c>
      <c r="Q16" s="1">
        <v>0.0052</v>
      </c>
      <c r="R16" s="3">
        <f t="shared" si="4"/>
        <v>104</v>
      </c>
      <c r="S16" s="2" t="s">
        <v>35</v>
      </c>
    </row>
    <row r="17">
      <c r="A17" s="1" t="s">
        <v>37</v>
      </c>
      <c r="B17" s="1">
        <v>0.1792</v>
      </c>
      <c r="C17" s="1">
        <f t="shared" si="1"/>
        <v>1.792</v>
      </c>
      <c r="D17" s="2" t="s">
        <v>38</v>
      </c>
      <c r="F17" s="1" t="s">
        <v>37</v>
      </c>
      <c r="G17" s="1">
        <v>0.1338</v>
      </c>
      <c r="H17" s="1">
        <f t="shared" si="2"/>
        <v>6.69</v>
      </c>
      <c r="I17" s="2" t="s">
        <v>38</v>
      </c>
      <c r="K17" s="1" t="s">
        <v>37</v>
      </c>
      <c r="L17" s="1">
        <v>0.1145</v>
      </c>
      <c r="M17" s="3">
        <f t="shared" si="3"/>
        <v>114.5</v>
      </c>
      <c r="N17" s="2" t="s">
        <v>38</v>
      </c>
      <c r="P17" s="1" t="s">
        <v>37</v>
      </c>
      <c r="Q17" s="1">
        <v>0.1379</v>
      </c>
      <c r="R17" s="3">
        <f t="shared" si="4"/>
        <v>2758</v>
      </c>
      <c r="S17" s="2" t="s">
        <v>39</v>
      </c>
    </row>
    <row r="18">
      <c r="A18" s="1" t="s">
        <v>40</v>
      </c>
      <c r="B18" s="1">
        <v>0.0392</v>
      </c>
      <c r="C18" s="1">
        <f t="shared" si="1"/>
        <v>0.392</v>
      </c>
      <c r="D18" s="2" t="s">
        <v>8</v>
      </c>
      <c r="F18" s="1" t="s">
        <v>40</v>
      </c>
      <c r="G18" s="1">
        <v>0.0314</v>
      </c>
      <c r="H18" s="1">
        <f t="shared" si="2"/>
        <v>1.57</v>
      </c>
      <c r="I18" s="2" t="s">
        <v>8</v>
      </c>
      <c r="K18" s="1" t="s">
        <v>40</v>
      </c>
      <c r="L18" s="1">
        <v>0.0289</v>
      </c>
      <c r="M18" s="3">
        <f t="shared" si="3"/>
        <v>28.9</v>
      </c>
      <c r="N18" s="2" t="s">
        <v>9</v>
      </c>
      <c r="P18" s="1" t="s">
        <v>40</v>
      </c>
      <c r="Q18" s="1">
        <v>0.0251</v>
      </c>
      <c r="R18" s="3">
        <f t="shared" si="4"/>
        <v>502</v>
      </c>
      <c r="S18" s="2" t="s">
        <v>9</v>
      </c>
    </row>
    <row r="19">
      <c r="A19" s="1" t="s">
        <v>41</v>
      </c>
      <c r="B19" s="1">
        <v>0.0041</v>
      </c>
      <c r="C19" s="1">
        <f t="shared" si="1"/>
        <v>0.041</v>
      </c>
      <c r="D19" s="2" t="s">
        <v>42</v>
      </c>
      <c r="F19" s="1" t="s">
        <v>41</v>
      </c>
      <c r="G19" s="1">
        <v>0.0032</v>
      </c>
      <c r="H19" s="1">
        <f t="shared" si="2"/>
        <v>0.16</v>
      </c>
      <c r="I19" s="2" t="s">
        <v>42</v>
      </c>
      <c r="K19" s="1" t="s">
        <v>41</v>
      </c>
      <c r="L19" s="1">
        <v>0.0097</v>
      </c>
      <c r="M19" s="3">
        <f t="shared" si="3"/>
        <v>9.7</v>
      </c>
      <c r="N19" s="2" t="s">
        <v>43</v>
      </c>
      <c r="P19" s="1" t="s">
        <v>41</v>
      </c>
      <c r="Q19" s="1">
        <v>0.0052</v>
      </c>
      <c r="R19" s="3">
        <f t="shared" si="4"/>
        <v>104</v>
      </c>
      <c r="S19" s="2" t="s">
        <v>44</v>
      </c>
    </row>
    <row r="20">
      <c r="A20" s="1" t="s">
        <v>45</v>
      </c>
      <c r="B20" s="1">
        <v>0.0181</v>
      </c>
      <c r="C20" s="1">
        <f t="shared" si="1"/>
        <v>0.181</v>
      </c>
      <c r="D20" s="2" t="s">
        <v>46</v>
      </c>
      <c r="F20" s="1" t="s">
        <v>45</v>
      </c>
      <c r="G20" s="1">
        <v>0.0181</v>
      </c>
      <c r="H20" s="1">
        <f t="shared" si="2"/>
        <v>0.905</v>
      </c>
      <c r="I20" s="2" t="s">
        <v>46</v>
      </c>
      <c r="K20" s="1" t="s">
        <v>45</v>
      </c>
      <c r="L20" s="1">
        <v>0.0153</v>
      </c>
      <c r="M20" s="3">
        <f t="shared" si="3"/>
        <v>15.3</v>
      </c>
      <c r="N20" s="2" t="s">
        <v>47</v>
      </c>
      <c r="P20" s="1" t="s">
        <v>45</v>
      </c>
      <c r="Q20" s="1">
        <v>0.0153</v>
      </c>
      <c r="R20" s="3">
        <f t="shared" si="4"/>
        <v>306</v>
      </c>
      <c r="S20" s="2" t="s">
        <v>47</v>
      </c>
    </row>
    <row r="21">
      <c r="A21" s="1" t="s">
        <v>48</v>
      </c>
      <c r="B21" s="1">
        <v>0.0123</v>
      </c>
      <c r="C21" s="1">
        <f t="shared" si="1"/>
        <v>0.123</v>
      </c>
      <c r="D21" s="2" t="s">
        <v>49</v>
      </c>
      <c r="F21" s="1" t="s">
        <v>48</v>
      </c>
      <c r="G21" s="1">
        <v>0.0122</v>
      </c>
      <c r="H21" s="1">
        <f t="shared" si="2"/>
        <v>0.61</v>
      </c>
      <c r="I21" s="2" t="s">
        <v>50</v>
      </c>
      <c r="K21" s="1" t="s">
        <v>48</v>
      </c>
      <c r="L21" s="1">
        <v>0.0104</v>
      </c>
      <c r="M21" s="3">
        <f t="shared" si="3"/>
        <v>10.4</v>
      </c>
      <c r="N21" s="2" t="s">
        <v>50</v>
      </c>
      <c r="P21" s="1" t="s">
        <v>48</v>
      </c>
      <c r="Q21" s="1">
        <v>0.0024</v>
      </c>
      <c r="R21" s="3">
        <f t="shared" si="4"/>
        <v>48</v>
      </c>
      <c r="S21" s="2" t="s">
        <v>51</v>
      </c>
    </row>
    <row r="22">
      <c r="A22" s="1" t="s">
        <v>52</v>
      </c>
      <c r="B22" s="1">
        <v>1.0792</v>
      </c>
      <c r="C22" s="1">
        <f t="shared" si="1"/>
        <v>10.792</v>
      </c>
      <c r="D22" s="2" t="s">
        <v>53</v>
      </c>
      <c r="F22" s="1" t="s">
        <v>52</v>
      </c>
      <c r="G22" s="1">
        <v>0.8997</v>
      </c>
      <c r="H22" s="1">
        <f t="shared" si="2"/>
        <v>44.985</v>
      </c>
      <c r="I22" s="2" t="s">
        <v>53</v>
      </c>
      <c r="K22" s="1" t="s">
        <v>52</v>
      </c>
      <c r="L22" s="1">
        <v>0.0475</v>
      </c>
      <c r="M22" s="3">
        <f t="shared" si="3"/>
        <v>47.5</v>
      </c>
      <c r="N22" s="2" t="s">
        <v>54</v>
      </c>
      <c r="P22" s="1" t="s">
        <v>52</v>
      </c>
      <c r="Q22" s="1">
        <v>0.0443</v>
      </c>
      <c r="R22" s="3">
        <f t="shared" si="4"/>
        <v>886</v>
      </c>
      <c r="S22" s="2" t="s">
        <v>54</v>
      </c>
    </row>
    <row r="23">
      <c r="A23" s="1" t="s">
        <v>55</v>
      </c>
      <c r="B23" s="1">
        <v>1.0792</v>
      </c>
      <c r="C23" s="1">
        <f t="shared" si="1"/>
        <v>10.792</v>
      </c>
      <c r="D23" s="2" t="s">
        <v>53</v>
      </c>
      <c r="F23" s="1" t="s">
        <v>55</v>
      </c>
      <c r="G23" s="1">
        <v>0.8997</v>
      </c>
      <c r="H23" s="1">
        <f t="shared" si="2"/>
        <v>44.985</v>
      </c>
      <c r="I23" s="2" t="s">
        <v>53</v>
      </c>
      <c r="K23" s="1" t="s">
        <v>55</v>
      </c>
      <c r="L23" s="1">
        <v>0.0475</v>
      </c>
      <c r="M23" s="3">
        <f t="shared" si="3"/>
        <v>47.5</v>
      </c>
      <c r="N23" s="2" t="s">
        <v>54</v>
      </c>
      <c r="P23" s="1" t="s">
        <v>55</v>
      </c>
      <c r="Q23" s="1">
        <v>0.0443</v>
      </c>
      <c r="R23" s="3">
        <f t="shared" si="4"/>
        <v>886</v>
      </c>
      <c r="S23" s="2" t="s">
        <v>54</v>
      </c>
    </row>
    <row r="24">
      <c r="A24" s="1" t="s">
        <v>56</v>
      </c>
      <c r="B24" s="1">
        <v>1.0792</v>
      </c>
      <c r="C24" s="1">
        <f t="shared" si="1"/>
        <v>10.792</v>
      </c>
      <c r="D24" s="2" t="s">
        <v>53</v>
      </c>
      <c r="F24" s="1" t="s">
        <v>56</v>
      </c>
      <c r="G24" s="1">
        <v>0.8997</v>
      </c>
      <c r="H24" s="1">
        <f t="shared" si="2"/>
        <v>44.985</v>
      </c>
      <c r="I24" s="2" t="s">
        <v>53</v>
      </c>
      <c r="K24" s="1" t="s">
        <v>56</v>
      </c>
      <c r="L24" s="1">
        <v>0.0475</v>
      </c>
      <c r="M24" s="3">
        <f t="shared" si="3"/>
        <v>47.5</v>
      </c>
      <c r="N24" s="2" t="s">
        <v>54</v>
      </c>
      <c r="P24" s="1" t="s">
        <v>56</v>
      </c>
      <c r="Q24" s="1">
        <v>0.0443</v>
      </c>
      <c r="R24" s="3">
        <f t="shared" si="4"/>
        <v>886</v>
      </c>
      <c r="S24" s="2" t="s">
        <v>54</v>
      </c>
    </row>
    <row r="25">
      <c r="A25" s="1" t="s">
        <v>57</v>
      </c>
      <c r="B25" s="1">
        <v>1.0792</v>
      </c>
      <c r="C25" s="1">
        <f t="shared" si="1"/>
        <v>10.792</v>
      </c>
      <c r="D25" s="2" t="s">
        <v>53</v>
      </c>
      <c r="F25" s="1" t="s">
        <v>57</v>
      </c>
      <c r="G25" s="1">
        <v>0.8997</v>
      </c>
      <c r="H25" s="1">
        <f t="shared" si="2"/>
        <v>44.985</v>
      </c>
      <c r="I25" s="2" t="s">
        <v>53</v>
      </c>
      <c r="K25" s="1" t="s">
        <v>57</v>
      </c>
      <c r="L25" s="1">
        <v>0.0475</v>
      </c>
      <c r="M25" s="3">
        <f t="shared" si="3"/>
        <v>47.5</v>
      </c>
      <c r="N25" s="2" t="s">
        <v>54</v>
      </c>
      <c r="P25" s="1" t="s">
        <v>57</v>
      </c>
      <c r="Q25" s="1">
        <v>0.0443</v>
      </c>
      <c r="R25" s="3">
        <f t="shared" si="4"/>
        <v>886</v>
      </c>
      <c r="S25" s="2" t="s">
        <v>54</v>
      </c>
    </row>
    <row r="26">
      <c r="A26" s="1" t="s">
        <v>58</v>
      </c>
      <c r="B26" s="1">
        <v>1.0032</v>
      </c>
      <c r="C26" s="1">
        <f t="shared" si="1"/>
        <v>10.032</v>
      </c>
      <c r="D26" s="2" t="s">
        <v>59</v>
      </c>
      <c r="F26" s="1" t="s">
        <v>58</v>
      </c>
      <c r="G26" s="1">
        <v>1.0032</v>
      </c>
      <c r="H26" s="1">
        <f t="shared" si="2"/>
        <v>50.16</v>
      </c>
      <c r="I26" s="2" t="s">
        <v>59</v>
      </c>
      <c r="K26" s="1" t="s">
        <v>58</v>
      </c>
      <c r="L26" s="1">
        <v>0.0507</v>
      </c>
      <c r="M26" s="3">
        <f t="shared" si="3"/>
        <v>50.7</v>
      </c>
      <c r="N26" s="2" t="s">
        <v>60</v>
      </c>
      <c r="P26" s="1" t="s">
        <v>58</v>
      </c>
      <c r="Q26" s="1">
        <v>0.0396</v>
      </c>
      <c r="R26" s="3">
        <f t="shared" si="4"/>
        <v>792</v>
      </c>
      <c r="S26" s="2" t="s">
        <v>60</v>
      </c>
    </row>
    <row r="27">
      <c r="A27" s="1" t="s">
        <v>61</v>
      </c>
      <c r="B27" s="1">
        <v>0.1291</v>
      </c>
      <c r="C27" s="1">
        <f t="shared" si="1"/>
        <v>1.291</v>
      </c>
      <c r="D27" s="2" t="s">
        <v>62</v>
      </c>
      <c r="F27" s="1" t="s">
        <v>61</v>
      </c>
      <c r="G27" s="1">
        <v>0.1062</v>
      </c>
      <c r="H27" s="1">
        <f t="shared" si="2"/>
        <v>5.31</v>
      </c>
      <c r="I27" s="2" t="s">
        <v>62</v>
      </c>
      <c r="K27" s="1" t="s">
        <v>61</v>
      </c>
      <c r="L27" s="1">
        <v>0.1003</v>
      </c>
      <c r="M27" s="3">
        <f t="shared" si="3"/>
        <v>100.3</v>
      </c>
      <c r="N27" s="2" t="s">
        <v>63</v>
      </c>
      <c r="P27" s="1" t="s">
        <v>61</v>
      </c>
      <c r="Q27" s="1">
        <v>0.6609</v>
      </c>
      <c r="R27" s="3">
        <f t="shared" si="4"/>
        <v>13218</v>
      </c>
      <c r="S27" s="2" t="s">
        <v>64</v>
      </c>
    </row>
    <row r="28">
      <c r="A28" s="1" t="s">
        <v>65</v>
      </c>
      <c r="B28" s="1">
        <v>0.1291</v>
      </c>
      <c r="C28" s="1">
        <f t="shared" si="1"/>
        <v>1.291</v>
      </c>
      <c r="D28" s="2" t="s">
        <v>62</v>
      </c>
      <c r="F28" s="1" t="s">
        <v>65</v>
      </c>
      <c r="G28" s="1">
        <v>0.1062</v>
      </c>
      <c r="H28" s="1">
        <f t="shared" si="2"/>
        <v>5.31</v>
      </c>
      <c r="I28" s="2" t="s">
        <v>62</v>
      </c>
      <c r="K28" s="1" t="s">
        <v>65</v>
      </c>
      <c r="L28" s="1">
        <v>0.1003</v>
      </c>
      <c r="M28" s="3">
        <f t="shared" si="3"/>
        <v>100.3</v>
      </c>
      <c r="N28" s="2" t="s">
        <v>63</v>
      </c>
      <c r="P28" s="1" t="s">
        <v>65</v>
      </c>
      <c r="Q28" s="1">
        <v>0.6609</v>
      </c>
      <c r="R28" s="3">
        <f t="shared" si="4"/>
        <v>13218</v>
      </c>
      <c r="S28" s="2" t="s">
        <v>64</v>
      </c>
    </row>
    <row r="29">
      <c r="A29" s="1" t="s">
        <v>66</v>
      </c>
      <c r="B29" s="1">
        <v>0.0542</v>
      </c>
      <c r="C29" s="1">
        <f t="shared" si="1"/>
        <v>0.542</v>
      </c>
      <c r="D29" s="2" t="s">
        <v>67</v>
      </c>
      <c r="F29" s="1" t="s">
        <v>66</v>
      </c>
      <c r="G29" s="1">
        <v>0.0437</v>
      </c>
      <c r="H29" s="1">
        <f t="shared" si="2"/>
        <v>2.185</v>
      </c>
      <c r="I29" s="2" t="s">
        <v>67</v>
      </c>
      <c r="K29" s="1" t="s">
        <v>66</v>
      </c>
      <c r="L29" s="1">
        <v>0.036</v>
      </c>
      <c r="M29" s="3">
        <f t="shared" si="3"/>
        <v>36</v>
      </c>
      <c r="N29" s="2" t="s">
        <v>68</v>
      </c>
      <c r="P29" s="1" t="s">
        <v>66</v>
      </c>
      <c r="Q29" s="1">
        <v>0.0385</v>
      </c>
      <c r="R29" s="3">
        <f t="shared" si="4"/>
        <v>770</v>
      </c>
      <c r="S29" s="2" t="s">
        <v>69</v>
      </c>
    </row>
    <row r="30">
      <c r="A30" s="1" t="s">
        <v>70</v>
      </c>
      <c r="B30" s="1">
        <v>0.0542</v>
      </c>
      <c r="C30" s="1">
        <f t="shared" si="1"/>
        <v>0.542</v>
      </c>
      <c r="D30" s="2" t="s">
        <v>67</v>
      </c>
      <c r="F30" s="1" t="s">
        <v>70</v>
      </c>
      <c r="G30" s="1">
        <v>0.0437</v>
      </c>
      <c r="H30" s="1">
        <f t="shared" si="2"/>
        <v>2.185</v>
      </c>
      <c r="I30" s="2" t="s">
        <v>67</v>
      </c>
      <c r="K30" s="1" t="s">
        <v>70</v>
      </c>
      <c r="L30" s="1">
        <v>0.036</v>
      </c>
      <c r="M30" s="3">
        <f t="shared" si="3"/>
        <v>36</v>
      </c>
      <c r="N30" s="2" t="s">
        <v>68</v>
      </c>
      <c r="P30" s="1" t="s">
        <v>70</v>
      </c>
      <c r="Q30" s="1">
        <v>0.0385</v>
      </c>
      <c r="R30" s="3">
        <f t="shared" si="4"/>
        <v>770</v>
      </c>
      <c r="S30" s="2" t="s">
        <v>69</v>
      </c>
    </row>
    <row r="31">
      <c r="A31" s="1" t="s">
        <v>71</v>
      </c>
      <c r="B31" s="1">
        <v>0.0542</v>
      </c>
      <c r="C31" s="1">
        <f t="shared" si="1"/>
        <v>0.542</v>
      </c>
      <c r="D31" s="2" t="s">
        <v>67</v>
      </c>
      <c r="F31" s="1" t="s">
        <v>71</v>
      </c>
      <c r="G31" s="1">
        <v>0.0437</v>
      </c>
      <c r="H31" s="1">
        <f t="shared" si="2"/>
        <v>2.185</v>
      </c>
      <c r="I31" s="2" t="s">
        <v>67</v>
      </c>
      <c r="K31" s="1" t="s">
        <v>71</v>
      </c>
      <c r="L31" s="1">
        <v>0.036</v>
      </c>
      <c r="M31" s="3">
        <f t="shared" si="3"/>
        <v>36</v>
      </c>
      <c r="N31" s="2" t="s">
        <v>68</v>
      </c>
      <c r="P31" s="1" t="s">
        <v>71</v>
      </c>
      <c r="Q31" s="1">
        <v>0.0385</v>
      </c>
      <c r="R31" s="3">
        <f t="shared" si="4"/>
        <v>770</v>
      </c>
      <c r="S31" s="2" t="s">
        <v>69</v>
      </c>
    </row>
    <row r="32">
      <c r="A32" s="1" t="s">
        <v>72</v>
      </c>
      <c r="B32" s="1">
        <v>0.0542</v>
      </c>
      <c r="C32" s="1">
        <f t="shared" si="1"/>
        <v>0.542</v>
      </c>
      <c r="D32" s="2" t="s">
        <v>67</v>
      </c>
      <c r="F32" s="1" t="s">
        <v>72</v>
      </c>
      <c r="G32" s="1">
        <v>0.0437</v>
      </c>
      <c r="H32" s="1">
        <f t="shared" si="2"/>
        <v>2.185</v>
      </c>
      <c r="I32" s="2" t="s">
        <v>67</v>
      </c>
      <c r="K32" s="1" t="s">
        <v>72</v>
      </c>
      <c r="L32" s="1">
        <v>0.036</v>
      </c>
      <c r="M32" s="3">
        <f t="shared" si="3"/>
        <v>36</v>
      </c>
      <c r="N32" s="2" t="s">
        <v>68</v>
      </c>
      <c r="P32" s="1" t="s">
        <v>72</v>
      </c>
      <c r="Q32" s="1">
        <v>0.0385</v>
      </c>
      <c r="R32" s="3">
        <f t="shared" si="4"/>
        <v>770</v>
      </c>
      <c r="S32" s="2" t="s">
        <v>69</v>
      </c>
    </row>
    <row r="33">
      <c r="A33" s="1" t="s">
        <v>73</v>
      </c>
      <c r="B33" s="1">
        <v>0.0542</v>
      </c>
      <c r="C33" s="1">
        <f t="shared" si="1"/>
        <v>0.542</v>
      </c>
      <c r="D33" s="2" t="s">
        <v>67</v>
      </c>
      <c r="F33" s="1" t="s">
        <v>73</v>
      </c>
      <c r="G33" s="1">
        <v>0.0437</v>
      </c>
      <c r="H33" s="1">
        <f t="shared" si="2"/>
        <v>2.185</v>
      </c>
      <c r="I33" s="2" t="s">
        <v>67</v>
      </c>
      <c r="K33" s="1" t="s">
        <v>73</v>
      </c>
      <c r="L33" s="1">
        <v>0.036</v>
      </c>
      <c r="M33" s="3">
        <f t="shared" si="3"/>
        <v>36</v>
      </c>
      <c r="N33" s="2" t="s">
        <v>68</v>
      </c>
      <c r="P33" s="1" t="s">
        <v>73</v>
      </c>
      <c r="Q33" s="1">
        <v>0.0385</v>
      </c>
      <c r="R33" s="3">
        <f t="shared" si="4"/>
        <v>770</v>
      </c>
      <c r="S33" s="2" t="s">
        <v>69</v>
      </c>
    </row>
    <row r="34">
      <c r="A34" s="1" t="s">
        <v>74</v>
      </c>
      <c r="B34" s="1">
        <v>0.3014</v>
      </c>
      <c r="C34" s="1">
        <f t="shared" si="1"/>
        <v>3.014</v>
      </c>
      <c r="D34" s="2" t="s">
        <v>75</v>
      </c>
      <c r="F34" s="1" t="s">
        <v>74</v>
      </c>
      <c r="G34" s="1">
        <v>0.3635</v>
      </c>
      <c r="H34" s="1">
        <f t="shared" si="2"/>
        <v>18.175</v>
      </c>
      <c r="I34" s="2" t="s">
        <v>76</v>
      </c>
      <c r="K34" s="1" t="s">
        <v>74</v>
      </c>
      <c r="L34" s="1">
        <v>0.1885</v>
      </c>
      <c r="M34" s="3">
        <f t="shared" si="3"/>
        <v>188.5</v>
      </c>
      <c r="N34" s="2" t="s">
        <v>77</v>
      </c>
      <c r="P34" s="1" t="s">
        <v>74</v>
      </c>
      <c r="Q34" s="1">
        <v>2.6</v>
      </c>
      <c r="R34" s="3">
        <f t="shared" si="4"/>
        <v>52000</v>
      </c>
      <c r="S34" s="2" t="s">
        <v>78</v>
      </c>
    </row>
    <row r="35">
      <c r="A35" s="1" t="s">
        <v>79</v>
      </c>
      <c r="B35" s="1">
        <v>0.3014</v>
      </c>
      <c r="C35" s="1">
        <f t="shared" si="1"/>
        <v>3.014</v>
      </c>
      <c r="D35" s="2" t="s">
        <v>75</v>
      </c>
      <c r="F35" s="1" t="s">
        <v>79</v>
      </c>
      <c r="G35" s="1">
        <v>0.3635</v>
      </c>
      <c r="H35" s="1">
        <f t="shared" si="2"/>
        <v>18.175</v>
      </c>
      <c r="I35" s="2" t="s">
        <v>76</v>
      </c>
      <c r="K35" s="1" t="s">
        <v>79</v>
      </c>
      <c r="L35" s="1">
        <v>0.1885</v>
      </c>
      <c r="M35" s="3">
        <f t="shared" si="3"/>
        <v>188.5</v>
      </c>
      <c r="N35" s="2" t="s">
        <v>77</v>
      </c>
      <c r="P35" s="1" t="s">
        <v>79</v>
      </c>
      <c r="Q35" s="1">
        <v>2.6</v>
      </c>
      <c r="R35" s="3">
        <f t="shared" si="4"/>
        <v>52000</v>
      </c>
      <c r="S35" s="2" t="s">
        <v>78</v>
      </c>
    </row>
    <row r="36">
      <c r="A36" s="1" t="s">
        <v>80</v>
      </c>
      <c r="B36" s="1">
        <v>0.3014</v>
      </c>
      <c r="C36" s="1">
        <f t="shared" si="1"/>
        <v>3.014</v>
      </c>
      <c r="D36" s="2" t="s">
        <v>75</v>
      </c>
      <c r="F36" s="1" t="s">
        <v>80</v>
      </c>
      <c r="G36" s="1">
        <v>0.3635</v>
      </c>
      <c r="H36" s="1">
        <f t="shared" si="2"/>
        <v>18.175</v>
      </c>
      <c r="I36" s="2" t="s">
        <v>76</v>
      </c>
      <c r="K36" s="1" t="s">
        <v>80</v>
      </c>
      <c r="L36" s="1">
        <v>0.1885</v>
      </c>
      <c r="M36" s="3">
        <f t="shared" si="3"/>
        <v>188.5</v>
      </c>
      <c r="N36" s="2" t="s">
        <v>77</v>
      </c>
      <c r="P36" s="1" t="s">
        <v>80</v>
      </c>
      <c r="Q36" s="1">
        <v>2.6</v>
      </c>
      <c r="R36" s="3">
        <f t="shared" si="4"/>
        <v>52000</v>
      </c>
      <c r="S36" s="2" t="s">
        <v>78</v>
      </c>
    </row>
    <row r="37">
      <c r="A37" s="1" t="s">
        <v>81</v>
      </c>
      <c r="B37" s="1">
        <v>0.1102</v>
      </c>
      <c r="C37" s="1">
        <f t="shared" si="1"/>
        <v>1.102</v>
      </c>
      <c r="D37" s="2" t="s">
        <v>82</v>
      </c>
      <c r="F37" s="1" t="s">
        <v>81</v>
      </c>
      <c r="G37" s="1">
        <v>0.0912</v>
      </c>
      <c r="H37" s="1">
        <f t="shared" si="2"/>
        <v>4.56</v>
      </c>
      <c r="I37" s="2" t="s">
        <v>82</v>
      </c>
      <c r="K37" s="1" t="s">
        <v>81</v>
      </c>
      <c r="L37" s="1">
        <v>0.0326</v>
      </c>
      <c r="M37" s="3">
        <f t="shared" si="3"/>
        <v>32.6</v>
      </c>
      <c r="N37" s="2" t="s">
        <v>83</v>
      </c>
      <c r="P37" s="1" t="s">
        <v>81</v>
      </c>
      <c r="Q37" s="1">
        <v>0.015</v>
      </c>
      <c r="R37" s="3">
        <f t="shared" si="4"/>
        <v>300</v>
      </c>
      <c r="S37" s="2" t="s">
        <v>84</v>
      </c>
    </row>
    <row r="38">
      <c r="A38" s="1" t="s">
        <v>85</v>
      </c>
      <c r="B38" s="1">
        <v>0.0358</v>
      </c>
      <c r="C38" s="1">
        <f t="shared" si="1"/>
        <v>0.358</v>
      </c>
      <c r="D38" s="2" t="s">
        <v>86</v>
      </c>
      <c r="F38" s="1" t="s">
        <v>85</v>
      </c>
      <c r="G38" s="1">
        <v>0.0296</v>
      </c>
      <c r="H38" s="1">
        <f t="shared" si="2"/>
        <v>1.48</v>
      </c>
      <c r="I38" s="2" t="s">
        <v>87</v>
      </c>
      <c r="K38" s="1" t="s">
        <v>85</v>
      </c>
      <c r="L38" s="1">
        <v>0.0199</v>
      </c>
      <c r="M38" s="3">
        <f t="shared" si="3"/>
        <v>19.9</v>
      </c>
      <c r="N38" s="2" t="s">
        <v>87</v>
      </c>
      <c r="P38" s="1" t="s">
        <v>85</v>
      </c>
      <c r="Q38" s="1">
        <v>0.0114</v>
      </c>
      <c r="R38" s="3">
        <f t="shared" si="4"/>
        <v>228</v>
      </c>
      <c r="S38" s="2" t="s">
        <v>88</v>
      </c>
    </row>
    <row r="39">
      <c r="A39" s="1" t="s">
        <v>89</v>
      </c>
      <c r="B39" s="1">
        <v>0.0358</v>
      </c>
      <c r="C39" s="1">
        <f t="shared" si="1"/>
        <v>0.358</v>
      </c>
      <c r="D39" s="2" t="s">
        <v>86</v>
      </c>
      <c r="F39" s="1" t="s">
        <v>89</v>
      </c>
      <c r="G39" s="1">
        <v>0.0296</v>
      </c>
      <c r="H39" s="1">
        <f t="shared" si="2"/>
        <v>1.48</v>
      </c>
      <c r="I39" s="2" t="s">
        <v>87</v>
      </c>
      <c r="K39" s="1" t="s">
        <v>89</v>
      </c>
      <c r="L39" s="1">
        <v>0.0199</v>
      </c>
      <c r="M39" s="3">
        <f t="shared" si="3"/>
        <v>19.9</v>
      </c>
      <c r="N39" s="2" t="s">
        <v>87</v>
      </c>
      <c r="P39" s="1" t="s">
        <v>89</v>
      </c>
      <c r="Q39" s="1">
        <v>0.0114</v>
      </c>
      <c r="R39" s="3">
        <f t="shared" si="4"/>
        <v>228</v>
      </c>
      <c r="S39" s="2" t="s">
        <v>88</v>
      </c>
    </row>
    <row r="40">
      <c r="A40" s="1" t="s">
        <v>90</v>
      </c>
      <c r="B40" s="1">
        <v>0.0358</v>
      </c>
      <c r="C40" s="1">
        <f t="shared" si="1"/>
        <v>0.358</v>
      </c>
      <c r="D40" s="2" t="s">
        <v>86</v>
      </c>
      <c r="F40" s="1" t="s">
        <v>90</v>
      </c>
      <c r="G40" s="1">
        <v>0.0296</v>
      </c>
      <c r="H40" s="1">
        <f t="shared" si="2"/>
        <v>1.48</v>
      </c>
      <c r="I40" s="2" t="s">
        <v>87</v>
      </c>
      <c r="K40" s="1" t="s">
        <v>90</v>
      </c>
      <c r="L40" s="1">
        <v>0.0199</v>
      </c>
      <c r="M40" s="3">
        <f t="shared" si="3"/>
        <v>19.9</v>
      </c>
      <c r="N40" s="2" t="s">
        <v>87</v>
      </c>
      <c r="P40" s="1" t="s">
        <v>90</v>
      </c>
      <c r="Q40" s="1">
        <v>0.0114</v>
      </c>
      <c r="R40" s="3">
        <f t="shared" si="4"/>
        <v>228</v>
      </c>
      <c r="S40" s="2" t="s">
        <v>88</v>
      </c>
    </row>
    <row r="41">
      <c r="A41" s="1" t="s">
        <v>91</v>
      </c>
      <c r="B41" s="1">
        <v>0.0358</v>
      </c>
      <c r="C41" s="1">
        <f t="shared" si="1"/>
        <v>0.358</v>
      </c>
      <c r="D41" s="2" t="s">
        <v>86</v>
      </c>
      <c r="F41" s="1" t="s">
        <v>91</v>
      </c>
      <c r="G41" s="1">
        <v>0.0296</v>
      </c>
      <c r="H41" s="1">
        <f t="shared" si="2"/>
        <v>1.48</v>
      </c>
      <c r="I41" s="2" t="s">
        <v>87</v>
      </c>
      <c r="K41" s="1" t="s">
        <v>91</v>
      </c>
      <c r="L41" s="1">
        <v>0.0199</v>
      </c>
      <c r="M41" s="3">
        <f t="shared" si="3"/>
        <v>19.9</v>
      </c>
      <c r="N41" s="2" t="s">
        <v>87</v>
      </c>
      <c r="P41" s="1" t="s">
        <v>91</v>
      </c>
      <c r="Q41" s="1">
        <v>0.0114</v>
      </c>
      <c r="R41" s="3">
        <f t="shared" si="4"/>
        <v>228</v>
      </c>
      <c r="S41" s="2" t="s">
        <v>88</v>
      </c>
    </row>
    <row r="42">
      <c r="A42" s="1" t="s">
        <v>92</v>
      </c>
      <c r="B42" s="1">
        <v>0.005</v>
      </c>
      <c r="C42" s="1">
        <f t="shared" si="1"/>
        <v>0.05</v>
      </c>
      <c r="D42" s="2" t="s">
        <v>93</v>
      </c>
      <c r="F42" s="1" t="s">
        <v>92</v>
      </c>
      <c r="G42" s="1">
        <v>0.005</v>
      </c>
      <c r="H42" s="1">
        <f t="shared" si="2"/>
        <v>0.25</v>
      </c>
      <c r="I42" s="2" t="s">
        <v>93</v>
      </c>
      <c r="K42" s="1" t="s">
        <v>92</v>
      </c>
      <c r="L42" s="1">
        <v>0.003</v>
      </c>
      <c r="M42" s="3">
        <f t="shared" si="3"/>
        <v>3</v>
      </c>
      <c r="N42" s="2" t="s">
        <v>93</v>
      </c>
      <c r="P42" s="1" t="s">
        <v>92</v>
      </c>
      <c r="Q42" s="1">
        <v>0.0033</v>
      </c>
      <c r="R42" s="3">
        <f t="shared" si="4"/>
        <v>66</v>
      </c>
      <c r="S42" s="2" t="s">
        <v>94</v>
      </c>
    </row>
    <row r="43">
      <c r="A43" s="1" t="s">
        <v>95</v>
      </c>
      <c r="B43" s="1">
        <v>0.005</v>
      </c>
      <c r="C43" s="1">
        <f t="shared" si="1"/>
        <v>0.05</v>
      </c>
      <c r="D43" s="2" t="s">
        <v>93</v>
      </c>
      <c r="F43" s="1" t="s">
        <v>95</v>
      </c>
      <c r="G43" s="1">
        <v>0.005</v>
      </c>
      <c r="H43" s="1">
        <f t="shared" si="2"/>
        <v>0.25</v>
      </c>
      <c r="I43" s="2" t="s">
        <v>93</v>
      </c>
      <c r="K43" s="1" t="s">
        <v>95</v>
      </c>
      <c r="L43" s="1">
        <v>0.003</v>
      </c>
      <c r="M43" s="3">
        <f t="shared" si="3"/>
        <v>3</v>
      </c>
      <c r="N43" s="2" t="s">
        <v>93</v>
      </c>
      <c r="P43" s="1" t="s">
        <v>95</v>
      </c>
      <c r="Q43" s="1">
        <v>0.0033</v>
      </c>
      <c r="R43" s="3">
        <f t="shared" si="4"/>
        <v>66</v>
      </c>
      <c r="S43" s="2" t="s">
        <v>94</v>
      </c>
    </row>
    <row r="44">
      <c r="A44" s="1" t="s">
        <v>96</v>
      </c>
      <c r="B44" s="1">
        <v>0.005</v>
      </c>
      <c r="C44" s="1">
        <f t="shared" si="1"/>
        <v>0.05</v>
      </c>
      <c r="D44" s="2" t="s">
        <v>93</v>
      </c>
      <c r="F44" s="1" t="s">
        <v>96</v>
      </c>
      <c r="G44" s="1">
        <v>0.005</v>
      </c>
      <c r="H44" s="1">
        <f t="shared" si="2"/>
        <v>0.25</v>
      </c>
      <c r="I44" s="2" t="s">
        <v>93</v>
      </c>
      <c r="K44" s="1" t="s">
        <v>96</v>
      </c>
      <c r="L44" s="1">
        <v>0.003</v>
      </c>
      <c r="M44" s="3">
        <f t="shared" si="3"/>
        <v>3</v>
      </c>
      <c r="N44" s="2" t="s">
        <v>93</v>
      </c>
      <c r="P44" s="1" t="s">
        <v>96</v>
      </c>
      <c r="Q44" s="1">
        <v>0.0033</v>
      </c>
      <c r="R44" s="3">
        <f t="shared" si="4"/>
        <v>66</v>
      </c>
      <c r="S44" s="2" t="s">
        <v>94</v>
      </c>
    </row>
    <row r="45">
      <c r="A45" s="1" t="s">
        <v>97</v>
      </c>
      <c r="B45" s="1">
        <v>8.0E-4</v>
      </c>
      <c r="C45" s="1">
        <f t="shared" si="1"/>
        <v>0.008</v>
      </c>
      <c r="D45" s="2" t="s">
        <v>98</v>
      </c>
      <c r="F45" s="1" t="s">
        <v>97</v>
      </c>
      <c r="G45" s="1">
        <v>6.0E-4</v>
      </c>
      <c r="H45" s="1">
        <f t="shared" si="2"/>
        <v>0.03</v>
      </c>
      <c r="I45" s="2" t="s">
        <v>99</v>
      </c>
      <c r="K45" s="1" t="s">
        <v>97</v>
      </c>
      <c r="L45" s="1">
        <v>5.0E-4</v>
      </c>
      <c r="M45" s="3">
        <f t="shared" si="3"/>
        <v>0.5</v>
      </c>
      <c r="N45" s="2" t="s">
        <v>99</v>
      </c>
      <c r="P45" s="1" t="s">
        <v>97</v>
      </c>
      <c r="Q45" s="1">
        <v>6.0E-4</v>
      </c>
      <c r="R45" s="3">
        <f t="shared" si="4"/>
        <v>12</v>
      </c>
      <c r="S45" s="2" t="s">
        <v>100</v>
      </c>
    </row>
    <row r="46">
      <c r="A46" s="1" t="s">
        <v>101</v>
      </c>
      <c r="B46" s="1">
        <v>8.0E-4</v>
      </c>
      <c r="C46" s="1">
        <f t="shared" si="1"/>
        <v>0.008</v>
      </c>
      <c r="D46" s="2" t="s">
        <v>98</v>
      </c>
      <c r="F46" s="1" t="s">
        <v>101</v>
      </c>
      <c r="G46" s="1">
        <v>6.0E-4</v>
      </c>
      <c r="H46" s="1">
        <f t="shared" si="2"/>
        <v>0.03</v>
      </c>
      <c r="I46" s="2" t="s">
        <v>99</v>
      </c>
      <c r="K46" s="1" t="s">
        <v>101</v>
      </c>
      <c r="L46" s="1">
        <v>5.0E-4</v>
      </c>
      <c r="M46" s="3">
        <f t="shared" si="3"/>
        <v>0.5</v>
      </c>
      <c r="N46" s="2" t="s">
        <v>99</v>
      </c>
      <c r="P46" s="1" t="s">
        <v>101</v>
      </c>
      <c r="Q46" s="1">
        <v>6.0E-4</v>
      </c>
      <c r="R46" s="3">
        <f t="shared" si="4"/>
        <v>12</v>
      </c>
      <c r="S46" s="2" t="s">
        <v>100</v>
      </c>
    </row>
    <row r="47">
      <c r="A47" s="1" t="s">
        <v>102</v>
      </c>
      <c r="B47" s="1">
        <v>0.0039</v>
      </c>
      <c r="C47" s="1">
        <f t="shared" si="1"/>
        <v>0.039</v>
      </c>
      <c r="D47" s="2" t="s">
        <v>103</v>
      </c>
      <c r="F47" s="1" t="s">
        <v>102</v>
      </c>
      <c r="G47" s="1">
        <v>0.1495</v>
      </c>
      <c r="H47" s="1">
        <f t="shared" si="2"/>
        <v>7.475</v>
      </c>
      <c r="I47" s="2" t="s">
        <v>104</v>
      </c>
      <c r="K47" s="1" t="s">
        <v>102</v>
      </c>
      <c r="L47" s="1">
        <v>0.001</v>
      </c>
      <c r="M47" s="3">
        <f t="shared" si="3"/>
        <v>1</v>
      </c>
      <c r="N47" s="2" t="s">
        <v>105</v>
      </c>
      <c r="P47" s="1" t="s">
        <v>102</v>
      </c>
      <c r="Q47" s="1">
        <v>7.0E-4</v>
      </c>
      <c r="R47" s="3">
        <f t="shared" si="4"/>
        <v>14</v>
      </c>
      <c r="S47" s="2" t="s">
        <v>105</v>
      </c>
    </row>
    <row r="48">
      <c r="A48" s="1" t="s">
        <v>106</v>
      </c>
      <c r="B48" s="1">
        <v>0.0023</v>
      </c>
      <c r="C48" s="1">
        <f t="shared" si="1"/>
        <v>0.023</v>
      </c>
      <c r="D48" s="2" t="s">
        <v>107</v>
      </c>
      <c r="F48" s="1" t="s">
        <v>106</v>
      </c>
      <c r="G48" s="1">
        <v>0.0023</v>
      </c>
      <c r="H48" s="1">
        <f t="shared" si="2"/>
        <v>0.115</v>
      </c>
      <c r="I48" s="2" t="s">
        <v>107</v>
      </c>
      <c r="K48" s="1" t="s">
        <v>106</v>
      </c>
      <c r="L48" s="1">
        <v>0.0023</v>
      </c>
      <c r="M48" s="3">
        <f t="shared" si="3"/>
        <v>2.3</v>
      </c>
      <c r="N48" s="2" t="s">
        <v>107</v>
      </c>
      <c r="P48" s="1" t="s">
        <v>106</v>
      </c>
      <c r="Q48" s="1">
        <v>0.0023</v>
      </c>
      <c r="R48" s="3">
        <f t="shared" si="4"/>
        <v>46</v>
      </c>
      <c r="S48" s="2" t="s">
        <v>107</v>
      </c>
    </row>
    <row r="49">
      <c r="A49" s="1" t="s">
        <v>108</v>
      </c>
      <c r="B49" s="1">
        <v>0.0012</v>
      </c>
      <c r="C49" s="1">
        <f t="shared" si="1"/>
        <v>0.012</v>
      </c>
      <c r="D49" s="2" t="s">
        <v>109</v>
      </c>
      <c r="F49" s="1" t="s">
        <v>108</v>
      </c>
      <c r="G49" s="1">
        <v>0.0012</v>
      </c>
      <c r="H49" s="1">
        <f t="shared" si="2"/>
        <v>0.06</v>
      </c>
      <c r="I49" s="2" t="s">
        <v>109</v>
      </c>
      <c r="K49" s="1" t="s">
        <v>108</v>
      </c>
      <c r="L49" s="1">
        <v>0.0019</v>
      </c>
      <c r="M49" s="3">
        <f t="shared" si="3"/>
        <v>1.9</v>
      </c>
      <c r="N49" s="2" t="s">
        <v>110</v>
      </c>
      <c r="P49" s="1" t="s">
        <v>108</v>
      </c>
      <c r="Q49" s="1">
        <v>0.0012</v>
      </c>
      <c r="R49" s="3">
        <f t="shared" si="4"/>
        <v>24</v>
      </c>
      <c r="S49" s="2" t="s">
        <v>111</v>
      </c>
    </row>
    <row r="50">
      <c r="A50" s="1" t="s">
        <v>112</v>
      </c>
      <c r="B50" s="1">
        <v>8.0E-4</v>
      </c>
      <c r="C50" s="1">
        <f t="shared" si="1"/>
        <v>0.008</v>
      </c>
      <c r="D50" s="2" t="s">
        <v>98</v>
      </c>
      <c r="F50" s="1" t="s">
        <v>112</v>
      </c>
      <c r="G50" s="1">
        <v>6.0E-4</v>
      </c>
      <c r="H50" s="1">
        <f t="shared" si="2"/>
        <v>0.03</v>
      </c>
      <c r="I50" s="2" t="s">
        <v>99</v>
      </c>
      <c r="K50" s="1" t="s">
        <v>112</v>
      </c>
      <c r="L50" s="1">
        <v>5.0E-4</v>
      </c>
      <c r="M50" s="3">
        <f t="shared" si="3"/>
        <v>0.5</v>
      </c>
      <c r="N50" s="2" t="s">
        <v>99</v>
      </c>
      <c r="P50" s="1" t="s">
        <v>112</v>
      </c>
      <c r="Q50" s="1">
        <v>6.0E-4</v>
      </c>
      <c r="R50" s="3">
        <f t="shared" si="4"/>
        <v>12</v>
      </c>
      <c r="S50" s="2" t="s">
        <v>100</v>
      </c>
    </row>
    <row r="51">
      <c r="A51" s="1" t="s">
        <v>113</v>
      </c>
      <c r="B51" s="1">
        <v>8.0E-4</v>
      </c>
      <c r="C51" s="1">
        <f t="shared" si="1"/>
        <v>0.008</v>
      </c>
      <c r="D51" s="2" t="s">
        <v>98</v>
      </c>
      <c r="F51" s="1" t="s">
        <v>113</v>
      </c>
      <c r="G51" s="1">
        <v>6.0E-4</v>
      </c>
      <c r="H51" s="1">
        <f t="shared" si="2"/>
        <v>0.03</v>
      </c>
      <c r="I51" s="2" t="s">
        <v>99</v>
      </c>
      <c r="K51" s="1" t="s">
        <v>113</v>
      </c>
      <c r="L51" s="1">
        <v>5.0E-4</v>
      </c>
      <c r="M51" s="3">
        <f t="shared" si="3"/>
        <v>0.5</v>
      </c>
      <c r="N51" s="2" t="s">
        <v>99</v>
      </c>
      <c r="P51" s="1" t="s">
        <v>113</v>
      </c>
      <c r="Q51" s="1">
        <v>6.0E-4</v>
      </c>
      <c r="R51" s="3">
        <f t="shared" si="4"/>
        <v>12</v>
      </c>
      <c r="S51" s="2" t="s">
        <v>100</v>
      </c>
    </row>
    <row r="52">
      <c r="A52" s="1" t="s">
        <v>114</v>
      </c>
      <c r="B52" s="1">
        <v>0.033</v>
      </c>
      <c r="C52" s="1">
        <f t="shared" si="1"/>
        <v>0.33</v>
      </c>
      <c r="D52" s="2" t="s">
        <v>115</v>
      </c>
      <c r="F52" s="1" t="s">
        <v>114</v>
      </c>
      <c r="G52" s="1">
        <v>0.0273</v>
      </c>
      <c r="H52" s="1">
        <f t="shared" si="2"/>
        <v>1.365</v>
      </c>
      <c r="I52" s="2" t="s">
        <v>116</v>
      </c>
      <c r="K52" s="1" t="s">
        <v>114</v>
      </c>
      <c r="L52" s="1">
        <v>0.003</v>
      </c>
      <c r="M52" s="3">
        <f t="shared" si="3"/>
        <v>3</v>
      </c>
      <c r="N52" s="2" t="s">
        <v>117</v>
      </c>
      <c r="P52" s="1" t="s">
        <v>114</v>
      </c>
      <c r="Q52" s="1">
        <v>0.003</v>
      </c>
      <c r="R52" s="3">
        <f t="shared" si="4"/>
        <v>60</v>
      </c>
      <c r="S52" s="2" t="s">
        <v>117</v>
      </c>
    </row>
    <row r="53">
      <c r="A53" s="1" t="s">
        <v>118</v>
      </c>
      <c r="B53" s="1">
        <v>0.0039</v>
      </c>
      <c r="C53" s="1">
        <f t="shared" si="1"/>
        <v>0.039</v>
      </c>
      <c r="D53" s="2" t="s">
        <v>103</v>
      </c>
      <c r="F53" s="1" t="s">
        <v>118</v>
      </c>
      <c r="G53" s="1">
        <v>0.1495</v>
      </c>
      <c r="H53" s="1">
        <f t="shared" si="2"/>
        <v>7.475</v>
      </c>
      <c r="I53" s="2" t="s">
        <v>104</v>
      </c>
      <c r="K53" s="1" t="s">
        <v>118</v>
      </c>
      <c r="L53" s="1">
        <v>0.001</v>
      </c>
      <c r="M53" s="3">
        <f t="shared" si="3"/>
        <v>1</v>
      </c>
      <c r="N53" s="2" t="s">
        <v>105</v>
      </c>
      <c r="P53" s="1" t="s">
        <v>118</v>
      </c>
      <c r="Q53" s="1">
        <v>7.0E-4</v>
      </c>
      <c r="R53" s="3">
        <f t="shared" si="4"/>
        <v>14</v>
      </c>
      <c r="S53" s="2" t="s">
        <v>105</v>
      </c>
    </row>
    <row r="54">
      <c r="A54" s="1" t="s">
        <v>119</v>
      </c>
      <c r="B54" s="1">
        <v>1.1654</v>
      </c>
      <c r="C54" s="1">
        <f t="shared" si="1"/>
        <v>11.654</v>
      </c>
      <c r="D54" s="2" t="s">
        <v>120</v>
      </c>
      <c r="F54" s="1" t="s">
        <v>119</v>
      </c>
      <c r="G54" s="1">
        <v>1.1192</v>
      </c>
      <c r="H54" s="1">
        <f t="shared" si="2"/>
        <v>55.96</v>
      </c>
      <c r="I54" s="2" t="s">
        <v>120</v>
      </c>
      <c r="K54" s="1" t="s">
        <v>119</v>
      </c>
      <c r="L54" s="1">
        <v>0.4331</v>
      </c>
      <c r="M54" s="3">
        <f t="shared" si="3"/>
        <v>433.1</v>
      </c>
      <c r="N54" s="2" t="s">
        <v>121</v>
      </c>
      <c r="P54" s="1" t="s">
        <v>119</v>
      </c>
      <c r="Q54" s="1">
        <v>0.46</v>
      </c>
      <c r="R54" s="3">
        <f t="shared" si="4"/>
        <v>9200</v>
      </c>
      <c r="S54" s="2" t="s">
        <v>122</v>
      </c>
    </row>
    <row r="55">
      <c r="A55" s="1" t="s">
        <v>123</v>
      </c>
      <c r="B55" s="1">
        <v>0.0224</v>
      </c>
      <c r="C55" s="1">
        <f t="shared" si="1"/>
        <v>0.224</v>
      </c>
      <c r="D55" s="2" t="s">
        <v>124</v>
      </c>
      <c r="F55" s="1" t="s">
        <v>123</v>
      </c>
      <c r="G55" s="1">
        <v>0.0207</v>
      </c>
      <c r="H55" s="1">
        <f t="shared" si="2"/>
        <v>1.035</v>
      </c>
      <c r="I55" s="2" t="s">
        <v>125</v>
      </c>
      <c r="K55" s="1" t="s">
        <v>123</v>
      </c>
      <c r="L55" s="1">
        <v>0.0016</v>
      </c>
      <c r="M55" s="3">
        <f t="shared" si="3"/>
        <v>1.6</v>
      </c>
      <c r="N55" s="2" t="s">
        <v>126</v>
      </c>
      <c r="P55" s="1" t="s">
        <v>123</v>
      </c>
      <c r="Q55" s="1">
        <v>0.0013</v>
      </c>
      <c r="R55" s="3">
        <f t="shared" si="4"/>
        <v>26</v>
      </c>
      <c r="S55" s="2" t="s">
        <v>126</v>
      </c>
    </row>
    <row r="56">
      <c r="A56" s="1" t="s">
        <v>127</v>
      </c>
      <c r="B56" s="1">
        <v>0.0039</v>
      </c>
      <c r="C56" s="1">
        <f t="shared" si="1"/>
        <v>0.039</v>
      </c>
      <c r="D56" s="2" t="s">
        <v>103</v>
      </c>
      <c r="F56" s="1" t="s">
        <v>127</v>
      </c>
      <c r="G56" s="1">
        <v>0.1495</v>
      </c>
      <c r="H56" s="1">
        <f t="shared" si="2"/>
        <v>7.475</v>
      </c>
      <c r="I56" s="2" t="s">
        <v>104</v>
      </c>
      <c r="K56" s="1" t="s">
        <v>127</v>
      </c>
      <c r="L56" s="1">
        <v>0.001</v>
      </c>
      <c r="M56" s="3">
        <f t="shared" si="3"/>
        <v>1</v>
      </c>
      <c r="N56" s="2" t="s">
        <v>105</v>
      </c>
      <c r="P56" s="1" t="s">
        <v>127</v>
      </c>
      <c r="Q56" s="1">
        <v>7.0E-4</v>
      </c>
      <c r="R56" s="3">
        <f t="shared" si="4"/>
        <v>14</v>
      </c>
      <c r="S56" s="2" t="s">
        <v>105</v>
      </c>
    </row>
    <row r="57">
      <c r="A57" s="1" t="s">
        <v>128</v>
      </c>
      <c r="B57" s="1">
        <v>0.0039</v>
      </c>
      <c r="C57" s="1">
        <f t="shared" si="1"/>
        <v>0.039</v>
      </c>
      <c r="D57" s="2" t="s">
        <v>103</v>
      </c>
      <c r="F57" s="1" t="s">
        <v>128</v>
      </c>
      <c r="G57" s="1">
        <v>0.1495</v>
      </c>
      <c r="H57" s="1">
        <f t="shared" si="2"/>
        <v>7.475</v>
      </c>
      <c r="I57" s="2" t="s">
        <v>104</v>
      </c>
      <c r="K57" s="1" t="s">
        <v>128</v>
      </c>
      <c r="L57" s="1">
        <v>0.001</v>
      </c>
      <c r="M57" s="3">
        <f t="shared" si="3"/>
        <v>1</v>
      </c>
      <c r="N57" s="2" t="s">
        <v>105</v>
      </c>
      <c r="P57" s="1" t="s">
        <v>128</v>
      </c>
      <c r="Q57" s="1">
        <v>7.0E-4</v>
      </c>
      <c r="R57" s="3">
        <f t="shared" si="4"/>
        <v>14</v>
      </c>
      <c r="S57" s="2" t="s">
        <v>105</v>
      </c>
    </row>
    <row r="58">
      <c r="A58" s="1" t="s">
        <v>129</v>
      </c>
      <c r="B58" s="1">
        <v>0.033</v>
      </c>
      <c r="C58" s="1">
        <f t="shared" si="1"/>
        <v>0.33</v>
      </c>
      <c r="D58" s="2" t="s">
        <v>115</v>
      </c>
      <c r="F58" s="1" t="s">
        <v>129</v>
      </c>
      <c r="G58" s="1">
        <v>0.0273</v>
      </c>
      <c r="H58" s="1">
        <f t="shared" si="2"/>
        <v>1.365</v>
      </c>
      <c r="I58" s="2" t="s">
        <v>116</v>
      </c>
      <c r="K58" s="1" t="s">
        <v>129</v>
      </c>
      <c r="L58" s="1">
        <v>0.003</v>
      </c>
      <c r="M58" s="3">
        <f t="shared" si="3"/>
        <v>3</v>
      </c>
      <c r="N58" s="2" t="s">
        <v>117</v>
      </c>
      <c r="P58" s="1" t="s">
        <v>129</v>
      </c>
      <c r="Q58" s="1">
        <v>0.003</v>
      </c>
      <c r="R58" s="3">
        <f t="shared" si="4"/>
        <v>60</v>
      </c>
      <c r="S58" s="2" t="s">
        <v>117</v>
      </c>
    </row>
    <row r="59">
      <c r="A59" s="1" t="s">
        <v>130</v>
      </c>
      <c r="B59" s="1">
        <v>0.033</v>
      </c>
      <c r="C59" s="1">
        <f t="shared" si="1"/>
        <v>0.33</v>
      </c>
      <c r="D59" s="2" t="s">
        <v>115</v>
      </c>
      <c r="F59" s="1" t="s">
        <v>130</v>
      </c>
      <c r="G59" s="1">
        <v>0.0273</v>
      </c>
      <c r="H59" s="1">
        <f t="shared" si="2"/>
        <v>1.365</v>
      </c>
      <c r="I59" s="2" t="s">
        <v>116</v>
      </c>
      <c r="K59" s="1" t="s">
        <v>130</v>
      </c>
      <c r="L59" s="1">
        <v>0.003</v>
      </c>
      <c r="M59" s="3">
        <f t="shared" si="3"/>
        <v>3</v>
      </c>
      <c r="N59" s="2" t="s">
        <v>117</v>
      </c>
      <c r="P59" s="1" t="s">
        <v>130</v>
      </c>
      <c r="Q59" s="1">
        <v>0.003</v>
      </c>
      <c r="R59" s="3">
        <f t="shared" si="4"/>
        <v>60</v>
      </c>
      <c r="S59" s="2" t="s">
        <v>117</v>
      </c>
    </row>
    <row r="60">
      <c r="A60" s="1" t="s">
        <v>131</v>
      </c>
      <c r="B60" s="1">
        <v>0.0224</v>
      </c>
      <c r="C60" s="1">
        <f t="shared" si="1"/>
        <v>0.224</v>
      </c>
      <c r="D60" s="2" t="s">
        <v>124</v>
      </c>
      <c r="F60" s="1" t="s">
        <v>131</v>
      </c>
      <c r="G60" s="1">
        <v>0.0207</v>
      </c>
      <c r="H60" s="1">
        <f t="shared" si="2"/>
        <v>1.035</v>
      </c>
      <c r="I60" s="2" t="s">
        <v>125</v>
      </c>
      <c r="K60" s="1" t="s">
        <v>131</v>
      </c>
      <c r="L60" s="1">
        <v>0.0016</v>
      </c>
      <c r="M60" s="3">
        <f t="shared" si="3"/>
        <v>1.6</v>
      </c>
      <c r="N60" s="2" t="s">
        <v>126</v>
      </c>
      <c r="P60" s="1" t="s">
        <v>131</v>
      </c>
      <c r="Q60" s="1">
        <v>0.0013</v>
      </c>
      <c r="R60" s="3">
        <f t="shared" si="4"/>
        <v>26</v>
      </c>
      <c r="S60" s="2" t="s">
        <v>126</v>
      </c>
    </row>
    <row r="61">
      <c r="A61" s="1" t="s">
        <v>132</v>
      </c>
      <c r="B61" s="1">
        <v>0.0372</v>
      </c>
      <c r="C61" s="1">
        <f t="shared" si="1"/>
        <v>0.372</v>
      </c>
      <c r="D61" s="2" t="s">
        <v>133</v>
      </c>
      <c r="F61" s="1" t="s">
        <v>132</v>
      </c>
      <c r="G61" s="1">
        <v>0.018</v>
      </c>
      <c r="H61" s="1">
        <f t="shared" si="2"/>
        <v>0.9</v>
      </c>
      <c r="I61" s="2" t="s">
        <v>134</v>
      </c>
      <c r="K61" s="1" t="s">
        <v>132</v>
      </c>
      <c r="L61" s="1">
        <v>0.0014</v>
      </c>
      <c r="M61" s="3">
        <f t="shared" si="3"/>
        <v>1.4</v>
      </c>
      <c r="N61" s="2" t="s">
        <v>135</v>
      </c>
      <c r="P61" s="1" t="s">
        <v>132</v>
      </c>
      <c r="Q61" s="1">
        <v>0.0011</v>
      </c>
      <c r="R61" s="3">
        <f t="shared" si="4"/>
        <v>22</v>
      </c>
      <c r="S61" s="2" t="s">
        <v>135</v>
      </c>
    </row>
    <row r="62">
      <c r="A62" s="1" t="s">
        <v>136</v>
      </c>
      <c r="B62" s="1">
        <v>0.033</v>
      </c>
      <c r="C62" s="1">
        <f t="shared" si="1"/>
        <v>0.33</v>
      </c>
      <c r="D62" s="2" t="s">
        <v>115</v>
      </c>
      <c r="F62" s="1" t="s">
        <v>136</v>
      </c>
      <c r="G62" s="1">
        <v>0.0273</v>
      </c>
      <c r="H62" s="1">
        <f t="shared" si="2"/>
        <v>1.365</v>
      </c>
      <c r="I62" s="2" t="s">
        <v>116</v>
      </c>
      <c r="K62" s="1" t="s">
        <v>136</v>
      </c>
      <c r="L62" s="1">
        <v>0.003</v>
      </c>
      <c r="M62" s="3">
        <f t="shared" si="3"/>
        <v>3</v>
      </c>
      <c r="N62" s="2" t="s">
        <v>117</v>
      </c>
      <c r="P62" s="1" t="s">
        <v>136</v>
      </c>
      <c r="Q62" s="1">
        <v>0.003</v>
      </c>
      <c r="R62" s="3">
        <f t="shared" si="4"/>
        <v>60</v>
      </c>
      <c r="S62" s="2" t="s">
        <v>117</v>
      </c>
    </row>
    <row r="63">
      <c r="A63" s="1" t="s">
        <v>137</v>
      </c>
      <c r="B63" s="1">
        <v>0.033</v>
      </c>
      <c r="C63" s="1">
        <f t="shared" si="1"/>
        <v>0.33</v>
      </c>
      <c r="D63" s="2" t="s">
        <v>115</v>
      </c>
      <c r="F63" s="1" t="s">
        <v>137</v>
      </c>
      <c r="G63" s="1">
        <v>0.0273</v>
      </c>
      <c r="H63" s="1">
        <f t="shared" si="2"/>
        <v>1.365</v>
      </c>
      <c r="I63" s="2" t="s">
        <v>116</v>
      </c>
      <c r="K63" s="1" t="s">
        <v>137</v>
      </c>
      <c r="L63" s="1">
        <v>0.003</v>
      </c>
      <c r="M63" s="3">
        <f t="shared" si="3"/>
        <v>3</v>
      </c>
      <c r="N63" s="2" t="s">
        <v>117</v>
      </c>
      <c r="P63" s="1" t="s">
        <v>137</v>
      </c>
      <c r="Q63" s="1">
        <v>0.003</v>
      </c>
      <c r="R63" s="3">
        <f t="shared" si="4"/>
        <v>60</v>
      </c>
      <c r="S63" s="2" t="s">
        <v>117</v>
      </c>
    </row>
    <row r="64">
      <c r="A64" s="1" t="s">
        <v>138</v>
      </c>
      <c r="B64" s="1">
        <v>0.033</v>
      </c>
      <c r="C64" s="1">
        <f t="shared" si="1"/>
        <v>0.33</v>
      </c>
      <c r="D64" s="4" t="s">
        <v>115</v>
      </c>
      <c r="F64" s="1" t="s">
        <v>138</v>
      </c>
      <c r="G64" s="1">
        <v>0.0273</v>
      </c>
      <c r="H64" s="1">
        <f t="shared" si="2"/>
        <v>1.365</v>
      </c>
      <c r="I64" s="2" t="s">
        <v>116</v>
      </c>
      <c r="K64" s="1" t="s">
        <v>138</v>
      </c>
      <c r="L64" s="1">
        <v>0.003</v>
      </c>
      <c r="M64" s="3">
        <f t="shared" si="3"/>
        <v>3</v>
      </c>
      <c r="N64" s="2" t="s">
        <v>117</v>
      </c>
      <c r="P64" s="1" t="s">
        <v>138</v>
      </c>
      <c r="Q64" s="1">
        <v>0.003</v>
      </c>
      <c r="R64" s="3">
        <f t="shared" si="4"/>
        <v>60</v>
      </c>
      <c r="S64" s="2" t="s">
        <v>117</v>
      </c>
    </row>
    <row r="65">
      <c r="A65" s="1" t="s">
        <v>139</v>
      </c>
      <c r="B65" s="1">
        <v>0.0372</v>
      </c>
      <c r="C65" s="1">
        <f t="shared" si="1"/>
        <v>0.372</v>
      </c>
      <c r="D65" s="2" t="s">
        <v>133</v>
      </c>
      <c r="F65" s="1" t="s">
        <v>139</v>
      </c>
      <c r="G65" s="1">
        <v>0.018</v>
      </c>
      <c r="H65" s="1">
        <f t="shared" si="2"/>
        <v>0.9</v>
      </c>
      <c r="I65" s="2" t="s">
        <v>134</v>
      </c>
      <c r="K65" s="1" t="s">
        <v>139</v>
      </c>
      <c r="L65" s="1">
        <v>0.0014</v>
      </c>
      <c r="M65" s="3">
        <f t="shared" si="3"/>
        <v>1.4</v>
      </c>
      <c r="N65" s="2" t="s">
        <v>135</v>
      </c>
      <c r="P65" s="1" t="s">
        <v>139</v>
      </c>
      <c r="Q65" s="1">
        <v>0.0011</v>
      </c>
      <c r="R65" s="3">
        <f t="shared" si="4"/>
        <v>22</v>
      </c>
      <c r="S65" s="2" t="s">
        <v>135</v>
      </c>
    </row>
    <row r="66">
      <c r="A66" s="1" t="s">
        <v>140</v>
      </c>
      <c r="B66" s="1">
        <v>0.0372</v>
      </c>
      <c r="C66" s="1">
        <f t="shared" si="1"/>
        <v>0.372</v>
      </c>
      <c r="D66" s="2" t="s">
        <v>133</v>
      </c>
      <c r="F66" s="1" t="s">
        <v>140</v>
      </c>
      <c r="G66" s="1">
        <v>0.018</v>
      </c>
      <c r="H66" s="1">
        <f t="shared" si="2"/>
        <v>0.9</v>
      </c>
      <c r="I66" s="2" t="s">
        <v>134</v>
      </c>
      <c r="K66" s="1" t="s">
        <v>140</v>
      </c>
      <c r="L66" s="1">
        <v>0.0014</v>
      </c>
      <c r="M66" s="3">
        <f t="shared" si="3"/>
        <v>1.4</v>
      </c>
      <c r="N66" s="2" t="s">
        <v>135</v>
      </c>
      <c r="P66" s="1" t="s">
        <v>140</v>
      </c>
      <c r="Q66" s="1">
        <v>0.0011</v>
      </c>
      <c r="R66" s="3">
        <f t="shared" si="4"/>
        <v>22</v>
      </c>
      <c r="S66" s="2" t="s">
        <v>135</v>
      </c>
    </row>
    <row r="67">
      <c r="A67" s="1" t="s">
        <v>141</v>
      </c>
      <c r="B67" s="1">
        <v>0.1291</v>
      </c>
      <c r="C67" s="1">
        <f t="shared" si="1"/>
        <v>1.291</v>
      </c>
      <c r="D67" s="2" t="s">
        <v>62</v>
      </c>
      <c r="F67" s="1" t="s">
        <v>141</v>
      </c>
      <c r="G67" s="1">
        <v>0.1062</v>
      </c>
      <c r="H67" s="1">
        <f t="shared" si="2"/>
        <v>5.31</v>
      </c>
      <c r="I67" s="2" t="s">
        <v>62</v>
      </c>
      <c r="K67" s="1" t="s">
        <v>141</v>
      </c>
      <c r="L67" s="1">
        <v>0.1003</v>
      </c>
      <c r="M67" s="3">
        <f t="shared" si="3"/>
        <v>100.3</v>
      </c>
      <c r="N67" s="2" t="s">
        <v>63</v>
      </c>
      <c r="P67" s="1" t="s">
        <v>141</v>
      </c>
      <c r="Q67" s="1">
        <v>0.6609</v>
      </c>
      <c r="R67" s="3">
        <f t="shared" si="4"/>
        <v>13218</v>
      </c>
      <c r="S67" s="2" t="s">
        <v>64</v>
      </c>
    </row>
    <row r="68">
      <c r="A68" s="1" t="s">
        <v>142</v>
      </c>
      <c r="B68" s="1">
        <v>0.1291</v>
      </c>
      <c r="C68" s="1">
        <f t="shared" si="1"/>
        <v>1.291</v>
      </c>
      <c r="D68" s="2" t="s">
        <v>62</v>
      </c>
      <c r="F68" s="1" t="s">
        <v>142</v>
      </c>
      <c r="G68" s="1">
        <v>0.1062</v>
      </c>
      <c r="H68" s="1">
        <f t="shared" si="2"/>
        <v>5.31</v>
      </c>
      <c r="I68" s="2" t="s">
        <v>62</v>
      </c>
      <c r="K68" s="1" t="s">
        <v>142</v>
      </c>
      <c r="L68" s="1">
        <v>0.1003</v>
      </c>
      <c r="M68" s="3">
        <f t="shared" si="3"/>
        <v>100.3</v>
      </c>
      <c r="N68" s="2" t="s">
        <v>63</v>
      </c>
      <c r="P68" s="1" t="s">
        <v>142</v>
      </c>
      <c r="Q68" s="1">
        <v>0.6609</v>
      </c>
      <c r="R68" s="3">
        <f t="shared" si="4"/>
        <v>13218</v>
      </c>
      <c r="S68" s="2" t="s">
        <v>64</v>
      </c>
    </row>
    <row r="69">
      <c r="A69" s="1" t="s">
        <v>143</v>
      </c>
      <c r="B69" s="1">
        <v>0.1291</v>
      </c>
      <c r="C69" s="1">
        <f t="shared" si="1"/>
        <v>1.291</v>
      </c>
      <c r="D69" s="2" t="s">
        <v>62</v>
      </c>
      <c r="F69" s="1" t="s">
        <v>143</v>
      </c>
      <c r="G69" s="1">
        <v>0.1062</v>
      </c>
      <c r="H69" s="1">
        <f t="shared" si="2"/>
        <v>5.31</v>
      </c>
      <c r="I69" s="2" t="s">
        <v>62</v>
      </c>
      <c r="K69" s="1" t="s">
        <v>143</v>
      </c>
      <c r="L69" s="1">
        <v>0.1003</v>
      </c>
      <c r="M69" s="3">
        <f t="shared" si="3"/>
        <v>100.3</v>
      </c>
      <c r="N69" s="2" t="s">
        <v>63</v>
      </c>
      <c r="P69" s="1" t="s">
        <v>143</v>
      </c>
      <c r="Q69" s="1">
        <v>0.6609</v>
      </c>
      <c r="R69" s="3">
        <f t="shared" si="4"/>
        <v>13218</v>
      </c>
      <c r="S69" s="2" t="s">
        <v>64</v>
      </c>
    </row>
    <row r="70">
      <c r="A70" s="1" t="s">
        <v>144</v>
      </c>
      <c r="B70" s="1">
        <v>0.1291</v>
      </c>
      <c r="C70" s="1">
        <f t="shared" si="1"/>
        <v>1.291</v>
      </c>
      <c r="D70" s="2" t="s">
        <v>62</v>
      </c>
      <c r="F70" s="1" t="s">
        <v>144</v>
      </c>
      <c r="G70" s="1">
        <v>0.1062</v>
      </c>
      <c r="H70" s="1">
        <f t="shared" si="2"/>
        <v>5.31</v>
      </c>
      <c r="I70" s="2" t="s">
        <v>62</v>
      </c>
      <c r="K70" s="1" t="s">
        <v>144</v>
      </c>
      <c r="L70" s="1">
        <v>0.1003</v>
      </c>
      <c r="M70" s="3">
        <f t="shared" si="3"/>
        <v>100.3</v>
      </c>
      <c r="N70" s="2" t="s">
        <v>63</v>
      </c>
      <c r="P70" s="1" t="s">
        <v>144</v>
      </c>
      <c r="Q70" s="1">
        <v>0.6609</v>
      </c>
      <c r="R70" s="3">
        <f t="shared" si="4"/>
        <v>13218</v>
      </c>
      <c r="S70" s="2" t="s">
        <v>64</v>
      </c>
    </row>
    <row r="71">
      <c r="A71" s="1" t="s">
        <v>145</v>
      </c>
      <c r="B71" s="1">
        <v>0.0856</v>
      </c>
      <c r="C71" s="1">
        <f t="shared" si="1"/>
        <v>0.856</v>
      </c>
      <c r="D71" s="2" t="s">
        <v>146</v>
      </c>
      <c r="F71" s="1" t="s">
        <v>145</v>
      </c>
      <c r="G71" s="1">
        <v>0.0681</v>
      </c>
      <c r="H71" s="1">
        <f t="shared" si="2"/>
        <v>3.405</v>
      </c>
      <c r="I71" s="2" t="s">
        <v>146</v>
      </c>
      <c r="K71" s="1" t="s">
        <v>145</v>
      </c>
      <c r="L71" s="1">
        <v>0.0528</v>
      </c>
      <c r="M71" s="3">
        <f t="shared" si="3"/>
        <v>52.8</v>
      </c>
      <c r="N71" s="2" t="s">
        <v>146</v>
      </c>
      <c r="P71" s="1" t="s">
        <v>145</v>
      </c>
      <c r="Q71" s="1">
        <v>0.0998</v>
      </c>
      <c r="R71" s="3">
        <f t="shared" si="4"/>
        <v>1996</v>
      </c>
      <c r="S71" s="2" t="s">
        <v>147</v>
      </c>
    </row>
    <row r="72">
      <c r="A72" s="1" t="s">
        <v>148</v>
      </c>
      <c r="B72" s="1">
        <v>0.2022</v>
      </c>
      <c r="C72" s="1">
        <f t="shared" si="1"/>
        <v>2.022</v>
      </c>
      <c r="D72" s="2" t="s">
        <v>149</v>
      </c>
      <c r="F72" s="1" t="s">
        <v>148</v>
      </c>
      <c r="G72" s="1">
        <v>0.1711</v>
      </c>
      <c r="H72" s="1">
        <f t="shared" si="2"/>
        <v>8.555</v>
      </c>
      <c r="I72" s="2" t="s">
        <v>150</v>
      </c>
      <c r="K72" s="1" t="s">
        <v>148</v>
      </c>
      <c r="L72" s="1">
        <v>0.1356</v>
      </c>
      <c r="M72" s="3">
        <f t="shared" si="3"/>
        <v>135.6</v>
      </c>
      <c r="N72" s="2" t="s">
        <v>149</v>
      </c>
      <c r="P72" s="1" t="s">
        <v>148</v>
      </c>
      <c r="Q72" s="1">
        <v>0.2742</v>
      </c>
      <c r="R72" s="3">
        <f t="shared" si="4"/>
        <v>5484</v>
      </c>
      <c r="S72" s="2" t="s">
        <v>151</v>
      </c>
    </row>
    <row r="73">
      <c r="A73" s="1" t="s">
        <v>152</v>
      </c>
      <c r="B73" s="1">
        <v>1.1256</v>
      </c>
      <c r="C73" s="1">
        <f t="shared" si="1"/>
        <v>11.256</v>
      </c>
      <c r="D73" s="2" t="s">
        <v>150</v>
      </c>
      <c r="F73" s="1" t="s">
        <v>152</v>
      </c>
      <c r="G73" s="1">
        <v>0.9327</v>
      </c>
      <c r="H73" s="1">
        <f t="shared" si="2"/>
        <v>46.635</v>
      </c>
      <c r="I73" s="2" t="s">
        <v>153</v>
      </c>
      <c r="K73" s="1" t="s">
        <v>152</v>
      </c>
      <c r="L73" s="1">
        <v>0.804</v>
      </c>
      <c r="M73" s="3">
        <f t="shared" si="3"/>
        <v>804</v>
      </c>
      <c r="N73" s="2" t="s">
        <v>153</v>
      </c>
      <c r="P73" s="1" t="s">
        <v>152</v>
      </c>
      <c r="Q73" s="1">
        <v>0.7793</v>
      </c>
      <c r="R73" s="3">
        <f t="shared" si="4"/>
        <v>15586</v>
      </c>
      <c r="S73" s="2" t="s">
        <v>153</v>
      </c>
    </row>
    <row r="74">
      <c r="A74" s="1" t="s">
        <v>154</v>
      </c>
      <c r="B74" s="1">
        <v>5.88</v>
      </c>
      <c r="C74" s="1">
        <f t="shared" si="1"/>
        <v>58.8</v>
      </c>
      <c r="D74" s="2" t="s">
        <v>155</v>
      </c>
      <c r="F74" s="1" t="s">
        <v>154</v>
      </c>
      <c r="G74" s="1">
        <v>5.88</v>
      </c>
      <c r="H74" s="1">
        <f t="shared" si="2"/>
        <v>294</v>
      </c>
      <c r="I74" s="2" t="s">
        <v>155</v>
      </c>
      <c r="K74" s="1" t="s">
        <v>154</v>
      </c>
      <c r="L74" s="1">
        <v>5.68</v>
      </c>
      <c r="M74" s="3">
        <f t="shared" si="3"/>
        <v>5680</v>
      </c>
      <c r="N74" s="2" t="s">
        <v>156</v>
      </c>
      <c r="P74" s="1" t="s">
        <v>154</v>
      </c>
      <c r="Q74" s="1">
        <v>5.68</v>
      </c>
      <c r="R74" s="3">
        <f t="shared" si="4"/>
        <v>113600</v>
      </c>
      <c r="S74" s="2" t="s">
        <v>156</v>
      </c>
    </row>
    <row r="75">
      <c r="A75" s="1" t="s">
        <v>157</v>
      </c>
      <c r="B75" s="1">
        <v>1.6582</v>
      </c>
      <c r="C75" s="1">
        <f t="shared" si="1"/>
        <v>16.582</v>
      </c>
      <c r="D75" s="2" t="s">
        <v>158</v>
      </c>
      <c r="F75" s="1" t="s">
        <v>157</v>
      </c>
      <c r="G75" s="1">
        <v>1.5085</v>
      </c>
      <c r="H75" s="1">
        <f t="shared" si="2"/>
        <v>75.425</v>
      </c>
      <c r="I75" s="2" t="s">
        <v>158</v>
      </c>
      <c r="K75" s="1" t="s">
        <v>157</v>
      </c>
      <c r="L75" s="1">
        <v>1.1879</v>
      </c>
      <c r="M75" s="3">
        <f t="shared" si="3"/>
        <v>1187.9</v>
      </c>
      <c r="N75" s="2" t="s">
        <v>158</v>
      </c>
      <c r="P75" s="1" t="s">
        <v>157</v>
      </c>
      <c r="Q75" s="1">
        <v>1.1879</v>
      </c>
      <c r="R75" s="3">
        <f t="shared" si="4"/>
        <v>23758</v>
      </c>
      <c r="S75" s="2" t="s">
        <v>158</v>
      </c>
    </row>
    <row r="76">
      <c r="A76" s="1" t="s">
        <v>159</v>
      </c>
      <c r="B76" s="1">
        <v>1.1256</v>
      </c>
      <c r="C76" s="1">
        <f t="shared" si="1"/>
        <v>11.256</v>
      </c>
      <c r="D76" s="2" t="s">
        <v>150</v>
      </c>
      <c r="F76" s="1" t="s">
        <v>159</v>
      </c>
      <c r="G76" s="1">
        <v>0.9327</v>
      </c>
      <c r="H76" s="1">
        <f t="shared" si="2"/>
        <v>46.635</v>
      </c>
      <c r="I76" s="2" t="s">
        <v>150</v>
      </c>
      <c r="K76" s="1" t="s">
        <v>159</v>
      </c>
      <c r="L76" s="1">
        <v>0.804</v>
      </c>
      <c r="M76" s="3">
        <f t="shared" si="3"/>
        <v>804</v>
      </c>
      <c r="N76" s="2" t="s">
        <v>150</v>
      </c>
      <c r="P76" s="1" t="s">
        <v>159</v>
      </c>
      <c r="Q76" s="1">
        <v>0.7793</v>
      </c>
      <c r="R76" s="3">
        <f t="shared" si="4"/>
        <v>15586</v>
      </c>
      <c r="S76" s="2" t="s">
        <v>153</v>
      </c>
    </row>
    <row r="77">
      <c r="A77" s="1" t="s">
        <v>160</v>
      </c>
      <c r="B77" s="1">
        <v>0.8</v>
      </c>
      <c r="C77" s="1">
        <f t="shared" si="1"/>
        <v>8</v>
      </c>
      <c r="D77" s="2" t="s">
        <v>161</v>
      </c>
      <c r="F77" s="1" t="s">
        <v>160</v>
      </c>
      <c r="G77" s="1">
        <v>0.8</v>
      </c>
      <c r="H77" s="1">
        <f t="shared" si="2"/>
        <v>40</v>
      </c>
      <c r="I77" s="2" t="s">
        <v>161</v>
      </c>
      <c r="K77" s="1" t="s">
        <v>160</v>
      </c>
      <c r="L77" s="1">
        <v>0.8</v>
      </c>
      <c r="M77" s="3">
        <f t="shared" si="3"/>
        <v>800</v>
      </c>
      <c r="N77" s="2" t="s">
        <v>161</v>
      </c>
      <c r="P77" s="1" t="s">
        <v>160</v>
      </c>
      <c r="Q77" s="1">
        <v>0.8</v>
      </c>
      <c r="R77" s="3">
        <f t="shared" si="4"/>
        <v>16000</v>
      </c>
      <c r="S77" s="2" t="s">
        <v>161</v>
      </c>
    </row>
    <row r="78">
      <c r="A78" s="1" t="s">
        <v>162</v>
      </c>
      <c r="B78" s="1">
        <v>0.2676</v>
      </c>
      <c r="C78" s="1">
        <f t="shared" si="1"/>
        <v>2.676</v>
      </c>
      <c r="D78" s="2" t="s">
        <v>163</v>
      </c>
      <c r="F78" s="1" t="s">
        <v>162</v>
      </c>
      <c r="G78" s="1">
        <v>0.2279</v>
      </c>
      <c r="H78" s="1">
        <f t="shared" si="2"/>
        <v>11.395</v>
      </c>
      <c r="I78" s="2" t="s">
        <v>163</v>
      </c>
      <c r="K78" s="1" t="s">
        <v>162</v>
      </c>
      <c r="L78" s="1">
        <v>0.1773</v>
      </c>
      <c r="M78" s="3">
        <f t="shared" si="3"/>
        <v>177.3</v>
      </c>
      <c r="N78" s="2" t="s">
        <v>163</v>
      </c>
      <c r="P78" s="1" t="s">
        <v>162</v>
      </c>
      <c r="Q78" s="1">
        <v>0.1018</v>
      </c>
      <c r="R78" s="3">
        <f t="shared" si="4"/>
        <v>2036</v>
      </c>
      <c r="S78" s="2" t="s">
        <v>164</v>
      </c>
    </row>
    <row r="79">
      <c r="A79" s="1" t="s">
        <v>165</v>
      </c>
      <c r="B79" s="1">
        <v>0.0169</v>
      </c>
      <c r="C79" s="1">
        <f t="shared" si="1"/>
        <v>0.169</v>
      </c>
      <c r="D79" s="2" t="s">
        <v>166</v>
      </c>
      <c r="F79" s="1" t="s">
        <v>165</v>
      </c>
      <c r="G79" s="1">
        <v>0.0169</v>
      </c>
      <c r="H79" s="1">
        <f t="shared" si="2"/>
        <v>0.845</v>
      </c>
      <c r="I79" s="2" t="s">
        <v>166</v>
      </c>
      <c r="K79" s="1" t="s">
        <v>165</v>
      </c>
      <c r="L79" s="1">
        <v>0.0147</v>
      </c>
      <c r="M79" s="3">
        <f t="shared" si="3"/>
        <v>14.7</v>
      </c>
      <c r="N79" s="2" t="s">
        <v>166</v>
      </c>
      <c r="P79" s="1" t="s">
        <v>165</v>
      </c>
      <c r="Q79" s="1">
        <v>0.0214</v>
      </c>
      <c r="R79" s="3">
        <f t="shared" si="4"/>
        <v>428</v>
      </c>
      <c r="S79" s="2" t="s">
        <v>167</v>
      </c>
    </row>
    <row r="80">
      <c r="A80" s="1" t="s">
        <v>168</v>
      </c>
      <c r="B80" s="1">
        <v>1.28</v>
      </c>
      <c r="C80" s="1">
        <f t="shared" si="1"/>
        <v>12.8</v>
      </c>
      <c r="D80" s="2" t="s">
        <v>169</v>
      </c>
      <c r="F80" s="1" t="s">
        <v>168</v>
      </c>
      <c r="G80" s="1">
        <v>0.772</v>
      </c>
      <c r="H80" s="1">
        <f t="shared" si="2"/>
        <v>38.6</v>
      </c>
      <c r="I80" s="2" t="s">
        <v>169</v>
      </c>
      <c r="K80" s="1" t="s">
        <v>168</v>
      </c>
      <c r="L80" s="1">
        <v>0.56234</v>
      </c>
      <c r="M80" s="3">
        <f t="shared" si="3"/>
        <v>562.34</v>
      </c>
      <c r="N80" s="2" t="s">
        <v>169</v>
      </c>
      <c r="P80" s="1" t="s">
        <v>168</v>
      </c>
      <c r="Q80" s="1">
        <v>0.5509</v>
      </c>
      <c r="R80" s="3">
        <f t="shared" si="4"/>
        <v>11018</v>
      </c>
      <c r="S80" s="2" t="s">
        <v>169</v>
      </c>
    </row>
    <row r="81">
      <c r="A81" s="5" t="s">
        <v>170</v>
      </c>
      <c r="B81" s="6">
        <f t="shared" ref="B81:C81" si="5">SUM(B3:B80)</f>
        <v>23.4359</v>
      </c>
      <c r="C81" s="6">
        <f t="shared" si="5"/>
        <v>234.359</v>
      </c>
      <c r="D81" s="6"/>
      <c r="E81" s="6"/>
      <c r="F81" s="5" t="s">
        <v>170</v>
      </c>
      <c r="G81" s="6">
        <f t="shared" ref="G81:H81" si="6">SUM(G3:G80)</f>
        <v>21.8014</v>
      </c>
      <c r="H81" s="6">
        <f t="shared" si="6"/>
        <v>1090.07</v>
      </c>
      <c r="I81" s="6"/>
      <c r="J81" s="6"/>
      <c r="K81" s="5" t="s">
        <v>170</v>
      </c>
      <c r="L81" s="6">
        <f t="shared" ref="L81:M81" si="7">SUM(L3:L80)</f>
        <v>13.14484</v>
      </c>
      <c r="M81" s="6">
        <f t="shared" si="7"/>
        <v>13144.84</v>
      </c>
      <c r="N81" s="6"/>
      <c r="O81" s="6"/>
      <c r="P81" s="5" t="s">
        <v>170</v>
      </c>
      <c r="Q81" s="6">
        <f t="shared" ref="Q81:R81" si="8">SUM(Q3:Q80)</f>
        <v>23.5947</v>
      </c>
      <c r="R81" s="6">
        <f t="shared" si="8"/>
        <v>471894</v>
      </c>
    </row>
  </sheetData>
  <hyperlinks>
    <hyperlink r:id="rId1" ref="D3"/>
    <hyperlink r:id="rId2" ref="I3"/>
    <hyperlink r:id="rId3" ref="N3"/>
    <hyperlink r:id="rId4" ref="S3"/>
    <hyperlink r:id="rId5" ref="D4"/>
    <hyperlink r:id="rId6" ref="I4"/>
    <hyperlink r:id="rId7" ref="N4"/>
    <hyperlink r:id="rId8" ref="S4"/>
    <hyperlink r:id="rId9" ref="D5"/>
    <hyperlink r:id="rId10" ref="I5"/>
    <hyperlink r:id="rId11" ref="N5"/>
    <hyperlink r:id="rId12" ref="S5"/>
    <hyperlink r:id="rId13" ref="D6"/>
    <hyperlink r:id="rId14" ref="I6"/>
    <hyperlink r:id="rId15" ref="N6"/>
    <hyperlink r:id="rId16" ref="S6"/>
    <hyperlink r:id="rId17" ref="D7"/>
    <hyperlink r:id="rId18" ref="I7"/>
    <hyperlink r:id="rId19" ref="N7"/>
    <hyperlink r:id="rId20" ref="S7"/>
    <hyperlink r:id="rId21" ref="D8"/>
    <hyperlink r:id="rId22" ref="I8"/>
    <hyperlink r:id="rId23" ref="N8"/>
    <hyperlink r:id="rId24" ref="S8"/>
    <hyperlink r:id="rId25" ref="D9"/>
    <hyperlink r:id="rId26" ref="I9"/>
    <hyperlink r:id="rId27" ref="N9"/>
    <hyperlink r:id="rId28" ref="S9"/>
    <hyperlink r:id="rId29" ref="D10"/>
    <hyperlink r:id="rId30" ref="I10"/>
    <hyperlink r:id="rId31" ref="N10"/>
    <hyperlink r:id="rId32" ref="S10"/>
    <hyperlink r:id="rId33" ref="D11"/>
    <hyperlink r:id="rId34" ref="I11"/>
    <hyperlink r:id="rId35" ref="N11"/>
    <hyperlink r:id="rId36" ref="S11"/>
    <hyperlink r:id="rId37" ref="D12"/>
    <hyperlink r:id="rId38" ref="I12"/>
    <hyperlink r:id="rId39" ref="N12"/>
    <hyperlink r:id="rId40" ref="S12"/>
    <hyperlink r:id="rId41" ref="D13"/>
    <hyperlink r:id="rId42" ref="I13"/>
    <hyperlink r:id="rId43" ref="N13"/>
    <hyperlink r:id="rId44" ref="S13"/>
    <hyperlink r:id="rId45" ref="D14"/>
    <hyperlink r:id="rId46" ref="I14"/>
    <hyperlink r:id="rId47" ref="N14"/>
    <hyperlink r:id="rId48" ref="S14"/>
    <hyperlink r:id="rId49" ref="D15"/>
    <hyperlink r:id="rId50" ref="I15"/>
    <hyperlink r:id="rId51" ref="N15"/>
    <hyperlink r:id="rId52" ref="S15"/>
    <hyperlink r:id="rId53" ref="D16"/>
    <hyperlink r:id="rId54" ref="I16"/>
    <hyperlink r:id="rId55" ref="N16"/>
    <hyperlink r:id="rId56" ref="S16"/>
    <hyperlink r:id="rId57" ref="D17"/>
    <hyperlink r:id="rId58" ref="I17"/>
    <hyperlink r:id="rId59" ref="N17"/>
    <hyperlink r:id="rId60" ref="S17"/>
    <hyperlink r:id="rId61" ref="D18"/>
    <hyperlink r:id="rId62" ref="I18"/>
    <hyperlink r:id="rId63" ref="N18"/>
    <hyperlink r:id="rId64" ref="S18"/>
    <hyperlink r:id="rId65" ref="D19"/>
    <hyperlink r:id="rId66" ref="I19"/>
    <hyperlink r:id="rId67" ref="N19"/>
    <hyperlink r:id="rId68" ref="S19"/>
    <hyperlink r:id="rId69" ref="D20"/>
    <hyperlink r:id="rId70" ref="I20"/>
    <hyperlink r:id="rId71" ref="N20"/>
    <hyperlink r:id="rId72" ref="S20"/>
    <hyperlink r:id="rId73" ref="D21"/>
    <hyperlink r:id="rId74" ref="I21"/>
    <hyperlink r:id="rId75" ref="N21"/>
    <hyperlink r:id="rId76" ref="S21"/>
    <hyperlink r:id="rId77" ref="D22"/>
    <hyperlink r:id="rId78" ref="I22"/>
    <hyperlink r:id="rId79" ref="N22"/>
    <hyperlink r:id="rId80" ref="S22"/>
    <hyperlink r:id="rId81" ref="D23"/>
    <hyperlink r:id="rId82" ref="I23"/>
    <hyperlink r:id="rId83" ref="N23"/>
    <hyperlink r:id="rId84" ref="S23"/>
    <hyperlink r:id="rId85" ref="D24"/>
    <hyperlink r:id="rId86" ref="I24"/>
    <hyperlink r:id="rId87" ref="N24"/>
    <hyperlink r:id="rId88" ref="S24"/>
    <hyperlink r:id="rId89" ref="D25"/>
    <hyperlink r:id="rId90" ref="I25"/>
    <hyperlink r:id="rId91" ref="N25"/>
    <hyperlink r:id="rId92" ref="S25"/>
    <hyperlink r:id="rId93" ref="D26"/>
    <hyperlink r:id="rId94" ref="I26"/>
    <hyperlink r:id="rId95" ref="N26"/>
    <hyperlink r:id="rId96" ref="S26"/>
    <hyperlink r:id="rId97" ref="D27"/>
    <hyperlink r:id="rId98" ref="I27"/>
    <hyperlink r:id="rId99" ref="N27"/>
    <hyperlink r:id="rId100" ref="S27"/>
    <hyperlink r:id="rId101" ref="D28"/>
    <hyperlink r:id="rId102" ref="I28"/>
    <hyperlink r:id="rId103" ref="N28"/>
    <hyperlink r:id="rId104" ref="S28"/>
    <hyperlink r:id="rId105" ref="D29"/>
    <hyperlink r:id="rId106" ref="I29"/>
    <hyperlink r:id="rId107" ref="N29"/>
    <hyperlink r:id="rId108" ref="S29"/>
    <hyperlink r:id="rId109" ref="D30"/>
    <hyperlink r:id="rId110" ref="I30"/>
    <hyperlink r:id="rId111" ref="N30"/>
    <hyperlink r:id="rId112" ref="S30"/>
    <hyperlink r:id="rId113" ref="D31"/>
    <hyperlink r:id="rId114" ref="I31"/>
    <hyperlink r:id="rId115" ref="N31"/>
    <hyperlink r:id="rId116" ref="S31"/>
    <hyperlink r:id="rId117" ref="D32"/>
    <hyperlink r:id="rId118" ref="I32"/>
    <hyperlink r:id="rId119" ref="N32"/>
    <hyperlink r:id="rId120" ref="S32"/>
    <hyperlink r:id="rId121" ref="D33"/>
    <hyperlink r:id="rId122" ref="I33"/>
    <hyperlink r:id="rId123" ref="N33"/>
    <hyperlink r:id="rId124" ref="S33"/>
    <hyperlink r:id="rId125" ref="D34"/>
    <hyperlink r:id="rId126" ref="I34"/>
    <hyperlink r:id="rId127" ref="N34"/>
    <hyperlink r:id="rId128" ref="S34"/>
    <hyperlink r:id="rId129" ref="D35"/>
    <hyperlink r:id="rId130" ref="I35"/>
    <hyperlink r:id="rId131" ref="N35"/>
    <hyperlink r:id="rId132" ref="S35"/>
    <hyperlink r:id="rId133" ref="D36"/>
    <hyperlink r:id="rId134" ref="I36"/>
    <hyperlink r:id="rId135" ref="N36"/>
    <hyperlink r:id="rId136" ref="S36"/>
    <hyperlink r:id="rId137" ref="D37"/>
    <hyperlink r:id="rId138" ref="I37"/>
    <hyperlink r:id="rId139" ref="N37"/>
    <hyperlink r:id="rId140" ref="S37"/>
    <hyperlink r:id="rId141" ref="D38"/>
    <hyperlink r:id="rId142" ref="I38"/>
    <hyperlink r:id="rId143" ref="N38"/>
    <hyperlink r:id="rId144" ref="S38"/>
    <hyperlink r:id="rId145" ref="D39"/>
    <hyperlink r:id="rId146" ref="I39"/>
    <hyperlink r:id="rId147" ref="N39"/>
    <hyperlink r:id="rId148" ref="S39"/>
    <hyperlink r:id="rId149" ref="D40"/>
    <hyperlink r:id="rId150" ref="I40"/>
    <hyperlink r:id="rId151" ref="N40"/>
    <hyperlink r:id="rId152" ref="S40"/>
    <hyperlink r:id="rId153" ref="D41"/>
    <hyperlink r:id="rId154" ref="I41"/>
    <hyperlink r:id="rId155" ref="N41"/>
    <hyperlink r:id="rId156" ref="S41"/>
    <hyperlink r:id="rId157" ref="D42"/>
    <hyperlink r:id="rId158" ref="I42"/>
    <hyperlink r:id="rId159" ref="N42"/>
    <hyperlink r:id="rId160" ref="S42"/>
    <hyperlink r:id="rId161" ref="D43"/>
    <hyperlink r:id="rId162" ref="I43"/>
    <hyperlink r:id="rId163" ref="N43"/>
    <hyperlink r:id="rId164" ref="S43"/>
    <hyperlink r:id="rId165" ref="D44"/>
    <hyperlink r:id="rId166" ref="I44"/>
    <hyperlink r:id="rId167" ref="N44"/>
    <hyperlink r:id="rId168" ref="S44"/>
    <hyperlink r:id="rId169" ref="D45"/>
    <hyperlink r:id="rId170" ref="I45"/>
    <hyperlink r:id="rId171" ref="N45"/>
    <hyperlink r:id="rId172" ref="S45"/>
    <hyperlink r:id="rId173" ref="D46"/>
    <hyperlink r:id="rId174" ref="I46"/>
    <hyperlink r:id="rId175" ref="N46"/>
    <hyperlink r:id="rId176" ref="S46"/>
    <hyperlink r:id="rId177" ref="D47"/>
    <hyperlink r:id="rId178" ref="I47"/>
    <hyperlink r:id="rId179" ref="N47"/>
    <hyperlink r:id="rId180" ref="S47"/>
    <hyperlink r:id="rId181" ref="D48"/>
    <hyperlink r:id="rId182" ref="I48"/>
    <hyperlink r:id="rId183" ref="N48"/>
    <hyperlink r:id="rId184" ref="S48"/>
    <hyperlink r:id="rId185" ref="D49"/>
    <hyperlink r:id="rId186" ref="I49"/>
    <hyperlink r:id="rId187" ref="N49"/>
    <hyperlink r:id="rId188" ref="S49"/>
    <hyperlink r:id="rId189" ref="D50"/>
    <hyperlink r:id="rId190" ref="I50"/>
    <hyperlink r:id="rId191" ref="N50"/>
    <hyperlink r:id="rId192" ref="S50"/>
    <hyperlink r:id="rId193" ref="D51"/>
    <hyperlink r:id="rId194" ref="I51"/>
    <hyperlink r:id="rId195" ref="N51"/>
    <hyperlink r:id="rId196" ref="S51"/>
    <hyperlink r:id="rId197" ref="D52"/>
    <hyperlink r:id="rId198" ref="I52"/>
    <hyperlink r:id="rId199" ref="N52"/>
    <hyperlink r:id="rId200" ref="S52"/>
    <hyperlink r:id="rId201" ref="D53"/>
    <hyperlink r:id="rId202" ref="I53"/>
    <hyperlink r:id="rId203" ref="N53"/>
    <hyperlink r:id="rId204" ref="S53"/>
    <hyperlink r:id="rId205" ref="D54"/>
    <hyperlink r:id="rId206" ref="I54"/>
    <hyperlink r:id="rId207" ref="N54"/>
    <hyperlink r:id="rId208" ref="S54"/>
    <hyperlink r:id="rId209" ref="D55"/>
    <hyperlink r:id="rId210" ref="I55"/>
    <hyperlink r:id="rId211" ref="N55"/>
    <hyperlink r:id="rId212" ref="S55"/>
    <hyperlink r:id="rId213" ref="D56"/>
    <hyperlink r:id="rId214" ref="I56"/>
    <hyperlink r:id="rId215" ref="N56"/>
    <hyperlink r:id="rId216" ref="S56"/>
    <hyperlink r:id="rId217" ref="D57"/>
    <hyperlink r:id="rId218" ref="I57"/>
    <hyperlink r:id="rId219" ref="N57"/>
    <hyperlink r:id="rId220" ref="S57"/>
    <hyperlink r:id="rId221" ref="D58"/>
    <hyperlink r:id="rId222" ref="I58"/>
    <hyperlink r:id="rId223" ref="N58"/>
    <hyperlink r:id="rId224" ref="S58"/>
    <hyperlink r:id="rId225" ref="D59"/>
    <hyperlink r:id="rId226" ref="I59"/>
    <hyperlink r:id="rId227" ref="N59"/>
    <hyperlink r:id="rId228" ref="S59"/>
    <hyperlink r:id="rId229" ref="D60"/>
    <hyperlink r:id="rId230" ref="I60"/>
    <hyperlink r:id="rId231" ref="N60"/>
    <hyperlink r:id="rId232" ref="S60"/>
    <hyperlink r:id="rId233" ref="D61"/>
    <hyperlink r:id="rId234" ref="I61"/>
    <hyperlink r:id="rId235" ref="N61"/>
    <hyperlink r:id="rId236" ref="S61"/>
    <hyperlink r:id="rId237" ref="D62"/>
    <hyperlink r:id="rId238" ref="I62"/>
    <hyperlink r:id="rId239" ref="N62"/>
    <hyperlink r:id="rId240" ref="S62"/>
    <hyperlink r:id="rId241" ref="D63"/>
    <hyperlink r:id="rId242" ref="I63"/>
    <hyperlink r:id="rId243" ref="N63"/>
    <hyperlink r:id="rId244" ref="S63"/>
    <hyperlink r:id="rId245" ref="D64"/>
    <hyperlink r:id="rId246" ref="I64"/>
    <hyperlink r:id="rId247" ref="N64"/>
    <hyperlink r:id="rId248" ref="S64"/>
    <hyperlink r:id="rId249" ref="D65"/>
    <hyperlink r:id="rId250" ref="I65"/>
    <hyperlink r:id="rId251" ref="N65"/>
    <hyperlink r:id="rId252" ref="S65"/>
    <hyperlink r:id="rId253" ref="D66"/>
    <hyperlink r:id="rId254" ref="I66"/>
    <hyperlink r:id="rId255" ref="N66"/>
    <hyperlink r:id="rId256" ref="S66"/>
    <hyperlink r:id="rId257" ref="D67"/>
    <hyperlink r:id="rId258" ref="I67"/>
    <hyperlink r:id="rId259" ref="N67"/>
    <hyperlink r:id="rId260" ref="S67"/>
    <hyperlink r:id="rId261" ref="D68"/>
    <hyperlink r:id="rId262" ref="I68"/>
    <hyperlink r:id="rId263" ref="N68"/>
    <hyperlink r:id="rId264" ref="S68"/>
    <hyperlink r:id="rId265" ref="D69"/>
    <hyperlink r:id="rId266" ref="I69"/>
    <hyperlink r:id="rId267" ref="N69"/>
    <hyperlink r:id="rId268" ref="S69"/>
    <hyperlink r:id="rId269" ref="D70"/>
    <hyperlink r:id="rId270" ref="I70"/>
    <hyperlink r:id="rId271" ref="N70"/>
    <hyperlink r:id="rId272" ref="S70"/>
    <hyperlink r:id="rId273" ref="D71"/>
    <hyperlink r:id="rId274" ref="I71"/>
    <hyperlink r:id="rId275" ref="N71"/>
    <hyperlink r:id="rId276" ref="S71"/>
    <hyperlink r:id="rId277" ref="D72"/>
    <hyperlink r:id="rId278" ref="I72"/>
    <hyperlink r:id="rId279" ref="N72"/>
    <hyperlink r:id="rId280" ref="S72"/>
    <hyperlink r:id="rId281" ref="D73"/>
    <hyperlink r:id="rId282" ref="I73"/>
    <hyperlink r:id="rId283" ref="N73"/>
    <hyperlink r:id="rId284" ref="S73"/>
    <hyperlink r:id="rId285" ref="D74"/>
    <hyperlink r:id="rId286" ref="I74"/>
    <hyperlink r:id="rId287" ref="N74"/>
    <hyperlink r:id="rId288" ref="S74"/>
    <hyperlink r:id="rId289" ref="D75"/>
    <hyperlink r:id="rId290" ref="I75"/>
    <hyperlink r:id="rId291" ref="N75"/>
    <hyperlink r:id="rId292" ref="S75"/>
    <hyperlink r:id="rId293" ref="D76"/>
    <hyperlink r:id="rId294" ref="I76"/>
    <hyperlink r:id="rId295" ref="N76"/>
    <hyperlink r:id="rId296" ref="S76"/>
    <hyperlink r:id="rId297" ref="D77"/>
    <hyperlink r:id="rId298" ref="I77"/>
    <hyperlink r:id="rId299" ref="N77"/>
    <hyperlink r:id="rId300" ref="S77"/>
    <hyperlink r:id="rId301" ref="D78"/>
    <hyperlink r:id="rId302" ref="I78"/>
    <hyperlink r:id="rId303" ref="N78"/>
    <hyperlink r:id="rId304" ref="S78"/>
    <hyperlink r:id="rId305" ref="D79"/>
    <hyperlink r:id="rId306" ref="I79"/>
    <hyperlink r:id="rId307" ref="N79"/>
    <hyperlink r:id="rId308" ref="S79"/>
    <hyperlink r:id="rId309" ref="D80"/>
    <hyperlink r:id="rId310" ref="I80"/>
    <hyperlink r:id="rId311" ref="N80"/>
    <hyperlink r:id="rId312" ref="S80"/>
  </hyperlinks>
  <drawing r:id="rId313"/>
</worksheet>
</file>